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Kaluuba\Downloads\"/>
    </mc:Choice>
  </mc:AlternateContent>
  <xr:revisionPtr revIDLastSave="0" documentId="13_ncr:1_{D69B6A97-78DE-4AE2-A32B-B6486395D3C1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user_input_details" sheetId="1" r:id="rId1"/>
    <sheet name="user_inputs" sheetId="2" r:id="rId2"/>
    <sheet name="time_periods" sheetId="3" r:id="rId3"/>
    <sheet name="AD_lu_transitions" sheetId="4" r:id="rId4"/>
    <sheet name="c_stocks" sheetId="5" r:id="rId5"/>
    <sheet name="Cstocks_prep" sheetId="7" r:id="rId6"/>
    <sheet name="AD_Prep" sheetId="6" r:id="rId7"/>
    <sheet name="LU CLASS" sheetId="8" r:id="rId8"/>
  </sheets>
  <definedNames>
    <definedName name="ci_alpha">#REF!</definedName>
    <definedName name="conf_level">#REF!</definedName>
    <definedName name="n_iter">#REF!</definedName>
    <definedName name="year_mon">#REF!</definedName>
    <definedName name="year_ref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2" i="5"/>
  <c r="B9" i="5"/>
  <c r="B10" i="5"/>
  <c r="B11" i="5"/>
  <c r="B12" i="5"/>
  <c r="B13" i="5"/>
  <c r="B14" i="5"/>
  <c r="H14" i="7"/>
  <c r="H13" i="7"/>
  <c r="H12" i="7"/>
  <c r="H11" i="7"/>
  <c r="H10" i="7"/>
  <c r="H9" i="7"/>
  <c r="H3" i="7"/>
  <c r="H2" i="7"/>
  <c r="H5" i="7"/>
  <c r="H4" i="7"/>
  <c r="H8" i="7"/>
  <c r="H6" i="7"/>
  <c r="H7" i="7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N2" i="4"/>
  <c r="M2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8" i="5" l="1"/>
  <c r="B7" i="5"/>
  <c r="B6" i="5"/>
  <c r="B5" i="5"/>
  <c r="B4" i="5"/>
  <c r="B3" i="5"/>
  <c r="B2" i="5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<sst xmlns="http://schemas.openxmlformats.org/spreadsheetml/2006/main" count="660" uniqueCount="110">
  <si>
    <t>input_name</t>
  </si>
  <si>
    <t>input_description</t>
  </si>
  <si>
    <t>trunc_pdf</t>
  </si>
  <si>
    <t>Use truncated distributions to avoid negative values were illogical (TRUE or FALSE)</t>
  </si>
  <si>
    <t>n_iter</t>
  </si>
  <si>
    <t>How many simulations (Default 10,000)</t>
  </si>
  <si>
    <t>ran_seed</t>
  </si>
  <si>
    <t>Use a seed to reproduce random simulations (recommend setting to NULL the first time)</t>
  </si>
  <si>
    <t>c_unit</t>
  </si>
  <si>
    <t>What is the unit of AGB and BGB if included (DM for dry matter or C for carbon)</t>
  </si>
  <si>
    <t>c_fraction</t>
  </si>
  <si>
    <t xml:space="preserve">Carbon fraction value, mandatory if c_unit is "DM" </t>
  </si>
  <si>
    <t>c_fraction_se</t>
  </si>
  <si>
    <t xml:space="preserve">Carbon fraction standard error, mandatory if c_unit is "DM" </t>
  </si>
  <si>
    <t>c_fraction_pdf</t>
  </si>
  <si>
    <t xml:space="preserve">Carbon fraction PDF, mandatory if c_unit is "DM" </t>
  </si>
  <si>
    <t>dg_ext</t>
  </si>
  <si>
    <t>extension for degradation land use (ex. "_deg") for the code to identify degradaed LU and their corresponding intact class</t>
  </si>
  <si>
    <t>dg_pool</t>
  </si>
  <si>
    <t>If degradation is a ratio of intact forest Cstock, list of pools separated by coma. Any combination of AGB, BGB, DW, LI, SOC or NA if not applicable. Note: the pools not listed in dg_pool will be excluded when calculating the initial vs final Cstocks</t>
  </si>
  <si>
    <t>ad_annual</t>
  </si>
  <si>
    <t>Is AD reported in ha/year or in ha (TRUE or FALSE resp.)</t>
  </si>
  <si>
    <t>conf_level</t>
  </si>
  <si>
    <t>Confidence level (1 - alpha) between 0 and 1</t>
  </si>
  <si>
    <t>round_digits</t>
  </si>
  <si>
    <t>DM</t>
  </si>
  <si>
    <t>normal</t>
  </si>
  <si>
    <t>_deg</t>
  </si>
  <si>
    <t>ALL</t>
  </si>
  <si>
    <t>period_no</t>
  </si>
  <si>
    <t>year_start</t>
  </si>
  <si>
    <t>year_end</t>
  </si>
  <si>
    <t>period_type</t>
  </si>
  <si>
    <t>T1</t>
  </si>
  <si>
    <t>REF</t>
  </si>
  <si>
    <t>T2</t>
  </si>
  <si>
    <t>MON1</t>
  </si>
  <si>
    <t>trans_no</t>
  </si>
  <si>
    <t>trans_id</t>
  </si>
  <si>
    <t>trans_period</t>
  </si>
  <si>
    <t>trans_placeholder</t>
  </si>
  <si>
    <t>lu_initial_id</t>
  </si>
  <si>
    <t>lu_final_id</t>
  </si>
  <si>
    <t>trans_area</t>
  </si>
  <si>
    <t>trans_se</t>
  </si>
  <si>
    <t>trans_pdf</t>
  </si>
  <si>
    <t>trans_pdf_a</t>
  </si>
  <si>
    <t>trans_pdf_b</t>
  </si>
  <si>
    <t>trans_pdf_c</t>
  </si>
  <si>
    <t>lu_initial</t>
  </si>
  <si>
    <t>lu_final</t>
  </si>
  <si>
    <t>redd_activity</t>
  </si>
  <si>
    <t>DF</t>
  </si>
  <si>
    <t>DG</t>
  </si>
  <si>
    <t>c_no</t>
  </si>
  <si>
    <t>c_id</t>
  </si>
  <si>
    <t>c_period</t>
  </si>
  <si>
    <t>c_element</t>
  </si>
  <si>
    <t>c_lu_id</t>
  </si>
  <si>
    <t>c_placeholder</t>
  </si>
  <si>
    <t>c_value</t>
  </si>
  <si>
    <t>c_se</t>
  </si>
  <si>
    <t>c_pdf</t>
  </si>
  <si>
    <t>c_pdf_a</t>
  </si>
  <si>
    <t>c_pdf_b</t>
  </si>
  <si>
    <t>c_pdf_c</t>
  </si>
  <si>
    <t>c_lu_name</t>
  </si>
  <si>
    <t>AGB</t>
  </si>
  <si>
    <t>RS</t>
  </si>
  <si>
    <t>transition</t>
  </si>
  <si>
    <t>SE2017</t>
  </si>
  <si>
    <t>area_ha_2017</t>
  </si>
  <si>
    <t>year</t>
  </si>
  <si>
    <t>Deforestation_in_Forest_Plantations: commercial</t>
  </si>
  <si>
    <t>Deforestation_in_Forest_Plantations: non commercial</t>
  </si>
  <si>
    <t>Deforestation_in_THF</t>
  </si>
  <si>
    <t>Deforestation_in_Woodlands</t>
  </si>
  <si>
    <t>Degradation_in_THF</t>
  </si>
  <si>
    <t>Degradation_in_Woodlands</t>
  </si>
  <si>
    <t>FPc</t>
  </si>
  <si>
    <t>NF</t>
  </si>
  <si>
    <t>FPnc</t>
  </si>
  <si>
    <t>time_period</t>
  </si>
  <si>
    <t>THF</t>
  </si>
  <si>
    <t>WD</t>
  </si>
  <si>
    <t>THF_Deg</t>
  </si>
  <si>
    <t>WD_Deg</t>
  </si>
  <si>
    <t>T3</t>
  </si>
  <si>
    <t>T4</t>
  </si>
  <si>
    <t>T5</t>
  </si>
  <si>
    <t>T6</t>
  </si>
  <si>
    <t>T7</t>
  </si>
  <si>
    <t>T8</t>
  </si>
  <si>
    <t>ALL_AGB_EV</t>
  </si>
  <si>
    <t>ALL_AGB_M</t>
  </si>
  <si>
    <t>ALL_RS_EV</t>
  </si>
  <si>
    <t>ALL_RS_M</t>
  </si>
  <si>
    <t>ALL_DG_ratio_EV_deg</t>
  </si>
  <si>
    <t>ALL_DG_ratio_M_deg</t>
  </si>
  <si>
    <t>ALL_ALL_Crop</t>
  </si>
  <si>
    <t>Plantations commercial</t>
  </si>
  <si>
    <t>Plantations non commercial</t>
  </si>
  <si>
    <t>Tropical High Forest</t>
  </si>
  <si>
    <t>Woodlands</t>
  </si>
  <si>
    <t>Tropical High Forest Degraded</t>
  </si>
  <si>
    <t>Woodlands_Degraded</t>
  </si>
  <si>
    <t>Non Forest</t>
  </si>
  <si>
    <t>THF_deg</t>
  </si>
  <si>
    <t>WD_deg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</si>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</sst>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,##0.00_-;\-* #,##0.00_-;_-* &quot;-&quot;??_-;_-@_-"/>
    <numFmt numFmtId="171" formatCode="0.00000"/>
  </numFmts>
  <fonts count="12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2"/>
      <color rgb="FF000000"/>
      <name val="Arial"/>
      <charset val="134"/>
      <scheme val="minor"/>
    </font>
    <font>
      <b/>
      <sz val="12"/>
      <color theme="1"/>
      <name val="Arial"/>
      <charset val="134"/>
      <scheme val="minor"/>
    </font>
    <font>
      <b/>
      <sz val="12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sz val="8"/>
      <name val="Arial"/>
      <charset val="134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EF1CC"/>
        <bgColor rgb="FFFEF1CC"/>
      </patternFill>
    </fill>
    <fill>
      <patternFill patternType="solid">
        <fgColor rgb="FFD9E6FC"/>
        <bgColor rgb="FFD9E6FC"/>
      </patternFill>
    </fill>
    <fill>
      <patternFill patternType="solid">
        <fgColor rgb="FFFEE1CC"/>
        <bgColor rgb="FFFEE1CC"/>
      </patternFill>
    </fill>
    <fill>
      <patternFill patternType="solid">
        <fgColor rgb="FFF28E85"/>
        <bgColor rgb="FFF28E85"/>
      </patternFill>
    </fill>
    <fill>
      <patternFill patternType="solid">
        <fgColor rgb="FFF6B3AE"/>
        <bgColor rgb="FFF6B3AE"/>
      </patternFill>
    </fill>
    <fill>
      <patternFill patternType="solid">
        <fgColor rgb="FFA6E3B6"/>
        <bgColor rgb="FFA6E3B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6" fontId="9" fillId="0" borderId="0" applyFont="0" applyFill="0" applyBorder="0" applyAlignment="0" applyProtection="0">
      <alignment vertical="center"/>
    </xf>
    <xf numFmtId="0" fontId="8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4" fillId="0" borderId="0" xfId="0" applyFont="1"/>
    <xf numFmtId="0" fontId="5" fillId="0" borderId="0" xfId="0" applyFon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2" fontId="0" fillId="0" borderId="0" xfId="0" applyNumberFormat="1"/>
    <xf numFmtId="171" fontId="0" fillId="0" borderId="0" xfId="0" applyNumberFormat="1"/>
    <xf numFmtId="166" fontId="0" fillId="0" borderId="0" xfId="1" applyFont="1" applyAlignment="1"/>
    <xf numFmtId="2" fontId="2" fillId="2" borderId="0" xfId="0" applyNumberFormat="1" applyFont="1" applyFill="1"/>
    <xf numFmtId="2" fontId="2" fillId="3" borderId="0" xfId="0" applyNumberFormat="1" applyFont="1" applyFill="1"/>
    <xf numFmtId="2" fontId="2" fillId="4" borderId="0" xfId="0" applyNumberFormat="1" applyFont="1" applyFill="1"/>
    <xf numFmtId="4" fontId="0" fillId="0" borderId="0" xfId="1" applyNumberFormat="1" applyFont="1" applyAlignment="1"/>
    <xf numFmtId="4" fontId="0" fillId="0" borderId="0" xfId="0" applyNumberFormat="1"/>
    <xf numFmtId="0" fontId="11" fillId="0" borderId="0" xfId="0" applyFont="1"/>
  </cellXfs>
  <cellStyles count="3">
    <cellStyle name="Comma" xfId="1" builtinId="3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zoomScale="141" zoomScaleNormal="141" workbookViewId="0">
      <selection sqref="A1:XFD1"/>
    </sheetView>
  </sheetViews>
  <sheetFormatPr defaultColWidth="12.6328125" defaultRowHeight="15" customHeight="1"/>
  <cols>
    <col min="1" max="1" width="17" customWidth="1"/>
    <col min="2" max="2" width="70.36328125" customWidth="1"/>
    <col min="3" max="26" width="10.6328125" customWidth="1"/>
  </cols>
  <sheetData>
    <row r="1" spans="1:2" s="6" customFormat="1" ht="15.5">
      <c r="A1" s="11" t="s">
        <v>0</v>
      </c>
      <c r="B1" s="11" t="s">
        <v>1</v>
      </c>
    </row>
    <row r="2" spans="1:2" ht="12.75" customHeight="1">
      <c r="A2" s="14" t="s">
        <v>2</v>
      </c>
      <c r="B2" s="14" t="s">
        <v>3</v>
      </c>
    </row>
    <row r="3" spans="1:2" ht="12.75" customHeight="1">
      <c r="A3" s="14" t="s">
        <v>4</v>
      </c>
      <c r="B3" s="14" t="s">
        <v>5</v>
      </c>
    </row>
    <row r="4" spans="1:2" ht="12.75" customHeight="1">
      <c r="A4" s="14" t="s">
        <v>6</v>
      </c>
      <c r="B4" s="14" t="s">
        <v>7</v>
      </c>
    </row>
    <row r="5" spans="1:2" ht="12.75" customHeight="1">
      <c r="A5" s="14" t="s">
        <v>8</v>
      </c>
      <c r="B5" s="14" t="s">
        <v>9</v>
      </c>
    </row>
    <row r="6" spans="1:2" ht="12.75" customHeight="1">
      <c r="A6" s="14" t="s">
        <v>10</v>
      </c>
      <c r="B6" s="14" t="s">
        <v>11</v>
      </c>
    </row>
    <row r="7" spans="1:2" ht="12.75" customHeight="1">
      <c r="A7" s="14" t="s">
        <v>12</v>
      </c>
      <c r="B7" s="14" t="s">
        <v>13</v>
      </c>
    </row>
    <row r="8" spans="1:2" ht="12.75" customHeight="1">
      <c r="A8" s="14" t="s">
        <v>14</v>
      </c>
      <c r="B8" s="14" t="s">
        <v>15</v>
      </c>
    </row>
    <row r="9" spans="1:2" ht="12.75" customHeight="1">
      <c r="A9" s="14" t="s">
        <v>16</v>
      </c>
      <c r="B9" s="15" t="s">
        <v>17</v>
      </c>
    </row>
    <row r="10" spans="1:2" ht="12.75" customHeight="1">
      <c r="A10" s="14" t="s">
        <v>18</v>
      </c>
      <c r="B10" s="15" t="s">
        <v>19</v>
      </c>
    </row>
    <row r="11" spans="1:2" ht="12.75" customHeight="1">
      <c r="A11" s="14" t="s">
        <v>20</v>
      </c>
      <c r="B11" s="14" t="s">
        <v>21</v>
      </c>
    </row>
    <row r="12" spans="1:2" ht="12.75" customHeight="1">
      <c r="A12" s="14" t="s">
        <v>22</v>
      </c>
      <c r="B12" s="14" t="s">
        <v>23</v>
      </c>
    </row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zoomScale="125" zoomScaleNormal="125" workbookViewId="0">
      <selection activeCell="I3" sqref="I3"/>
    </sheetView>
  </sheetViews>
  <sheetFormatPr defaultColWidth="12.6328125" defaultRowHeight="15" customHeight="1"/>
  <cols>
    <col min="1" max="1" width="10.36328125" customWidth="1"/>
    <col min="2" max="2" width="6.6328125" customWidth="1"/>
    <col min="3" max="3" width="10.1796875" customWidth="1"/>
    <col min="4" max="4" width="7" customWidth="1"/>
    <col min="5" max="5" width="10.81640625" customWidth="1"/>
    <col min="6" max="6" width="14.36328125" customWidth="1"/>
    <col min="7" max="7" width="15" customWidth="1"/>
    <col min="8" max="8" width="8" bestFit="1" customWidth="1"/>
    <col min="9" max="9" width="8.81640625" customWidth="1"/>
    <col min="10" max="11" width="11" customWidth="1"/>
    <col min="12" max="12" width="13.1796875" customWidth="1"/>
    <col min="13" max="26" width="10.6328125" customWidth="1"/>
  </cols>
  <sheetData>
    <row r="1" spans="1:12" s="11" customFormat="1" ht="15.5">
      <c r="A1" s="11" t="s">
        <v>2</v>
      </c>
      <c r="B1" s="11" t="s">
        <v>4</v>
      </c>
      <c r="C1" s="11" t="s">
        <v>6</v>
      </c>
      <c r="D1" s="11" t="s">
        <v>8</v>
      </c>
      <c r="E1" s="11" t="s">
        <v>10</v>
      </c>
      <c r="F1" s="11" t="s">
        <v>12</v>
      </c>
      <c r="G1" s="11" t="s">
        <v>14</v>
      </c>
      <c r="H1" s="11" t="s">
        <v>16</v>
      </c>
      <c r="I1" s="11" t="s">
        <v>18</v>
      </c>
      <c r="J1" s="11" t="s">
        <v>20</v>
      </c>
      <c r="K1" s="11" t="s">
        <v>22</v>
      </c>
      <c r="L1" s="11" t="s">
        <v>24</v>
      </c>
    </row>
    <row r="2" spans="1:12" ht="12.75" customHeight="1">
      <c r="A2" s="13" t="b">
        <v>0</v>
      </c>
      <c r="B2" s="13">
        <v>10000</v>
      </c>
      <c r="C2" s="12" t="s">
        <v>109</v>
      </c>
      <c r="D2" s="12" t="s">
        <v>25</v>
      </c>
      <c r="E2" s="12">
        <v>0.47</v>
      </c>
      <c r="F2" s="12">
        <v>1.2999999999999999E-2</v>
      </c>
      <c r="G2" s="12" t="s">
        <v>26</v>
      </c>
      <c r="H2" s="12" t="s">
        <v>27</v>
      </c>
      <c r="I2" s="12" t="s">
        <v>28</v>
      </c>
      <c r="J2" s="13" t="b">
        <v>0</v>
      </c>
      <c r="K2" s="13">
        <v>0.9</v>
      </c>
      <c r="L2">
        <v>3</v>
      </c>
    </row>
    <row r="3" spans="1:12" ht="12.75" customHeight="1"/>
    <row r="4" spans="1:12" ht="12.75" customHeight="1"/>
    <row r="5" spans="1:12" ht="12.75" customHeight="1"/>
    <row r="6" spans="1:12" ht="12.75" customHeight="1"/>
    <row r="7" spans="1:12" ht="12.75" customHeight="1"/>
    <row r="8" spans="1:12" ht="12.75" customHeight="1"/>
    <row r="9" spans="1:12" ht="12.75" customHeight="1"/>
    <row r="10" spans="1:12" ht="12.75" customHeight="1"/>
    <row r="11" spans="1:12" ht="12.75" customHeight="1"/>
    <row r="12" spans="1:12" ht="12.75" customHeight="1"/>
    <row r="13" spans="1:12" ht="12.75" customHeight="1"/>
    <row r="14" spans="1:12" ht="12.75" customHeight="1"/>
    <row r="15" spans="1:12" ht="12.75" customHeight="1"/>
    <row r="16" spans="1:1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9"/>
  <sheetViews>
    <sheetView zoomScale="200" zoomScaleNormal="200" workbookViewId="0">
      <selection activeCell="C6" sqref="C6"/>
    </sheetView>
  </sheetViews>
  <sheetFormatPr defaultColWidth="12.6328125" defaultRowHeight="15" customHeight="1"/>
  <cols>
    <col min="1" max="1" width="10.6328125" customWidth="1"/>
    <col min="2" max="2" width="11.1796875" customWidth="1"/>
    <col min="3" max="3" width="10.1796875" customWidth="1"/>
    <col min="4" max="4" width="12.453125" customWidth="1"/>
    <col min="5" max="26" width="10.6328125" customWidth="1"/>
  </cols>
  <sheetData>
    <row r="1" spans="1:4" s="11" customFormat="1" ht="15.5">
      <c r="A1" s="11" t="s">
        <v>29</v>
      </c>
      <c r="B1" s="11" t="s">
        <v>30</v>
      </c>
      <c r="C1" s="11" t="s">
        <v>31</v>
      </c>
      <c r="D1" s="11" t="s">
        <v>32</v>
      </c>
    </row>
    <row r="2" spans="1:4" ht="12.75" customHeight="1">
      <c r="A2" s="12" t="s">
        <v>33</v>
      </c>
      <c r="B2" s="12">
        <v>2017</v>
      </c>
      <c r="C2" s="12">
        <v>2017</v>
      </c>
      <c r="D2" s="12" t="s">
        <v>34</v>
      </c>
    </row>
    <row r="3" spans="1:4" ht="12.75" customHeight="1">
      <c r="A3" s="12" t="s">
        <v>35</v>
      </c>
      <c r="B3" s="12">
        <v>2018</v>
      </c>
      <c r="C3" s="12">
        <v>2018</v>
      </c>
      <c r="D3" s="12" t="s">
        <v>34</v>
      </c>
    </row>
    <row r="4" spans="1:4" ht="12.75" customHeight="1">
      <c r="A4" s="12" t="s">
        <v>87</v>
      </c>
      <c r="B4" s="12">
        <v>2019</v>
      </c>
      <c r="C4" s="12">
        <v>2019</v>
      </c>
      <c r="D4" s="12" t="s">
        <v>34</v>
      </c>
    </row>
    <row r="5" spans="1:4" ht="12.75" customHeight="1">
      <c r="A5" s="12" t="s">
        <v>88</v>
      </c>
      <c r="B5" s="12">
        <v>2020</v>
      </c>
      <c r="C5" s="12">
        <v>2020</v>
      </c>
      <c r="D5" s="12" t="s">
        <v>34</v>
      </c>
    </row>
    <row r="6" spans="1:4" ht="12.75" customHeight="1">
      <c r="A6" s="12" t="s">
        <v>89</v>
      </c>
      <c r="B6" s="12">
        <v>2021</v>
      </c>
      <c r="C6" s="12">
        <v>2021</v>
      </c>
      <c r="D6" s="12" t="s">
        <v>34</v>
      </c>
    </row>
    <row r="7" spans="1:4" ht="12.75" customHeight="1">
      <c r="A7" s="12" t="s">
        <v>90</v>
      </c>
      <c r="B7" s="12">
        <v>2022</v>
      </c>
      <c r="C7" s="12">
        <v>2022</v>
      </c>
      <c r="D7" s="12" t="s">
        <v>36</v>
      </c>
    </row>
    <row r="8" spans="1:4" ht="12.75" customHeight="1">
      <c r="A8" s="12" t="s">
        <v>91</v>
      </c>
      <c r="B8" s="12">
        <v>2023</v>
      </c>
      <c r="C8" s="12">
        <v>2023</v>
      </c>
      <c r="D8" s="12" t="s">
        <v>36</v>
      </c>
    </row>
    <row r="9" spans="1:4" ht="12.75" customHeight="1">
      <c r="A9" s="12" t="s">
        <v>92</v>
      </c>
      <c r="B9" s="12">
        <v>2024</v>
      </c>
      <c r="C9" s="12">
        <v>2024</v>
      </c>
      <c r="D9" s="12" t="s">
        <v>36</v>
      </c>
    </row>
    <row r="10" spans="1:4" ht="12.75" customHeight="1"/>
    <row r="11" spans="1:4" ht="12.75" customHeight="1"/>
    <row r="12" spans="1:4" ht="12.75" customHeight="1"/>
    <row r="13" spans="1:4" ht="12.75" customHeight="1"/>
    <row r="14" spans="1:4" ht="12.75" customHeight="1"/>
    <row r="15" spans="1:4" ht="12.75" customHeight="1"/>
    <row r="16" spans="1:4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honeticPr fontId="10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49"/>
  <sheetViews>
    <sheetView zoomScale="111" zoomScaleNormal="111" workbookViewId="0">
      <selection activeCell="F7" sqref="F7"/>
    </sheetView>
  </sheetViews>
  <sheetFormatPr defaultColWidth="12.6328125" defaultRowHeight="15" customHeight="1"/>
  <cols>
    <col min="1" max="1" width="9.6328125" customWidth="1"/>
    <col min="2" max="2" width="15.1796875" customWidth="1"/>
    <col min="3" max="3" width="13.36328125" customWidth="1"/>
    <col min="4" max="4" width="18.6328125" customWidth="1"/>
    <col min="5" max="5" width="18.1796875" customWidth="1"/>
    <col min="6" max="6" width="17.1796875" customWidth="1"/>
    <col min="7" max="7" width="11.6328125" customWidth="1"/>
    <col min="8" max="8" width="9.6328125" customWidth="1"/>
    <col min="9" max="9" width="10.36328125" customWidth="1"/>
    <col min="10" max="10" width="0" hidden="1" customWidth="1"/>
    <col min="11" max="12" width="12.6328125" hidden="1" customWidth="1"/>
    <col min="13" max="14" width="23" customWidth="1"/>
    <col min="15" max="15" width="13.6328125" customWidth="1"/>
  </cols>
  <sheetData>
    <row r="1" spans="1:15" s="6" customFormat="1" ht="15.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</row>
    <row r="2" spans="1:15" ht="15.75" customHeight="1">
      <c r="A2" s="8">
        <v>1</v>
      </c>
      <c r="B2" s="8" t="str">
        <f t="shared" ref="B2:B13" si="0">C2&amp;"_"&amp;E2&amp;"_"&amp;F2</f>
        <v>T1_FPc_NF</v>
      </c>
      <c r="C2" s="8" t="s">
        <v>33</v>
      </c>
      <c r="D2" s="8"/>
      <c r="E2" t="s">
        <v>79</v>
      </c>
      <c r="F2" t="s">
        <v>80</v>
      </c>
      <c r="G2" s="22">
        <v>0</v>
      </c>
      <c r="H2" s="23">
        <v>0</v>
      </c>
      <c r="I2" s="8" t="s">
        <v>26</v>
      </c>
      <c r="J2" s="8"/>
      <c r="K2" s="8"/>
      <c r="L2" s="8"/>
      <c r="M2" s="8" t="str">
        <f>VLOOKUP(E2,'LU CLASS'!$B$2:$C$8,2,FALSE)</f>
        <v>Plantations commercial</v>
      </c>
      <c r="N2" s="8" t="str">
        <f>VLOOKUP(F2,'LU CLASS'!$B$2:$C$8,2,FALSE)</f>
        <v>Non Forest</v>
      </c>
      <c r="O2" s="8" t="s">
        <v>52</v>
      </c>
    </row>
    <row r="3" spans="1:15" ht="15.75" customHeight="1">
      <c r="A3" s="8">
        <v>2</v>
      </c>
      <c r="B3" s="8" t="str">
        <f t="shared" si="0"/>
        <v>T1_FPnc_NF</v>
      </c>
      <c r="C3" s="8" t="s">
        <v>33</v>
      </c>
      <c r="D3" s="8"/>
      <c r="E3" t="s">
        <v>81</v>
      </c>
      <c r="F3" t="s">
        <v>80</v>
      </c>
      <c r="G3" s="22">
        <v>0</v>
      </c>
      <c r="H3" s="23">
        <v>0</v>
      </c>
      <c r="I3" s="8" t="s">
        <v>26</v>
      </c>
      <c r="J3" s="8"/>
      <c r="K3" s="8"/>
      <c r="L3" s="8"/>
      <c r="M3" s="8" t="str">
        <f>VLOOKUP(E3,'LU CLASS'!$B$2:$C$8,2,FALSE)</f>
        <v>Plantations non commercial</v>
      </c>
      <c r="N3" s="8" t="str">
        <f>VLOOKUP(F3,'LU CLASS'!$B$2:$C$8,2,FALSE)</f>
        <v>Non Forest</v>
      </c>
      <c r="O3" s="8" t="s">
        <v>52</v>
      </c>
    </row>
    <row r="4" spans="1:15" ht="15.75" customHeight="1">
      <c r="A4" s="8">
        <v>3</v>
      </c>
      <c r="B4" s="9" t="str">
        <f t="shared" si="0"/>
        <v>T1_THF_NF</v>
      </c>
      <c r="C4" s="8" t="s">
        <v>33</v>
      </c>
      <c r="D4" s="9"/>
      <c r="E4" t="s">
        <v>83</v>
      </c>
      <c r="F4" t="s">
        <v>80</v>
      </c>
      <c r="G4" s="22">
        <v>5545.20558472219</v>
      </c>
      <c r="H4" s="23">
        <v>1.2053400433601593E-4</v>
      </c>
      <c r="I4" s="9" t="s">
        <v>26</v>
      </c>
      <c r="J4" s="9"/>
      <c r="K4" s="9"/>
      <c r="L4" s="9"/>
      <c r="M4" s="8" t="str">
        <f>VLOOKUP(E4,'LU CLASS'!$B$2:$C$8,2,FALSE)</f>
        <v>Tropical High Forest</v>
      </c>
      <c r="N4" s="8" t="str">
        <f>VLOOKUP(F4,'LU CLASS'!$B$2:$C$8,2,FALSE)</f>
        <v>Non Forest</v>
      </c>
      <c r="O4" s="9" t="s">
        <v>52</v>
      </c>
    </row>
    <row r="5" spans="1:15" ht="15.75" customHeight="1">
      <c r="A5" s="8">
        <v>4</v>
      </c>
      <c r="B5" s="9" t="str">
        <f t="shared" si="0"/>
        <v>T1_WD_NF</v>
      </c>
      <c r="C5" s="8" t="s">
        <v>33</v>
      </c>
      <c r="D5" s="9"/>
      <c r="E5" t="s">
        <v>84</v>
      </c>
      <c r="F5" t="s">
        <v>80</v>
      </c>
      <c r="G5" s="22">
        <v>31228.543603964299</v>
      </c>
      <c r="H5" s="23">
        <v>3.8460972096055396E-4</v>
      </c>
      <c r="I5" s="9" t="s">
        <v>26</v>
      </c>
      <c r="J5" s="9"/>
      <c r="K5" s="9"/>
      <c r="L5" s="9"/>
      <c r="M5" s="8" t="str">
        <f>VLOOKUP(E5,'LU CLASS'!$B$2:$C$8,2,FALSE)</f>
        <v>Woodlands</v>
      </c>
      <c r="N5" s="8" t="str">
        <f>VLOOKUP(F5,'LU CLASS'!$B$2:$C$8,2,FALSE)</f>
        <v>Non Forest</v>
      </c>
      <c r="O5" s="9" t="s">
        <v>52</v>
      </c>
    </row>
    <row r="6" spans="1:15" ht="15.75" customHeight="1">
      <c r="A6" s="8">
        <v>5</v>
      </c>
      <c r="B6" s="10" t="str">
        <f t="shared" si="0"/>
        <v>T1_THF_THF_deg</v>
      </c>
      <c r="C6" s="8" t="s">
        <v>33</v>
      </c>
      <c r="D6" s="10"/>
      <c r="E6" t="s">
        <v>83</v>
      </c>
      <c r="F6" t="s">
        <v>107</v>
      </c>
      <c r="G6" s="22">
        <v>1109.0411169444301</v>
      </c>
      <c r="H6" s="23">
        <v>5.3981232457387293E-5</v>
      </c>
      <c r="I6" s="10" t="s">
        <v>26</v>
      </c>
      <c r="J6" s="10"/>
      <c r="K6" s="10"/>
      <c r="L6" s="10"/>
      <c r="M6" s="8" t="str">
        <f>VLOOKUP(E6,'LU CLASS'!$B$2:$C$8,2,FALSE)</f>
        <v>Tropical High Forest</v>
      </c>
      <c r="N6" s="8" t="str">
        <f>VLOOKUP(F6,'LU CLASS'!$B$2:$C$8,2,FALSE)</f>
        <v>Tropical High Forest Degraded</v>
      </c>
      <c r="O6" s="10" t="s">
        <v>53</v>
      </c>
    </row>
    <row r="7" spans="1:15" ht="15.75" customHeight="1">
      <c r="A7" s="8">
        <v>6</v>
      </c>
      <c r="B7" s="10" t="str">
        <f t="shared" si="0"/>
        <v>T1_WD_WD_deg</v>
      </c>
      <c r="C7" s="8" t="s">
        <v>33</v>
      </c>
      <c r="D7" s="10"/>
      <c r="E7" t="s">
        <v>84</v>
      </c>
      <c r="F7" t="s">
        <v>108</v>
      </c>
      <c r="G7" s="22">
        <v>6992.72004956009</v>
      </c>
      <c r="H7" s="23">
        <v>1.9856574155759294E-4</v>
      </c>
      <c r="I7" s="10" t="s">
        <v>26</v>
      </c>
      <c r="J7" s="10"/>
      <c r="K7" s="10"/>
      <c r="L7" s="10"/>
      <c r="M7" s="8" t="str">
        <f>VLOOKUP(E7,'LU CLASS'!$B$2:$C$8,2,FALSE)</f>
        <v>Woodlands</v>
      </c>
      <c r="N7" s="8" t="str">
        <f>VLOOKUP(F7,'LU CLASS'!$B$2:$C$8,2,FALSE)</f>
        <v>Woodlands_Degraded</v>
      </c>
      <c r="O7" s="10" t="s">
        <v>53</v>
      </c>
    </row>
    <row r="8" spans="1:15" ht="15.75" customHeight="1">
      <c r="A8" s="8">
        <v>7</v>
      </c>
      <c r="B8" s="8" t="str">
        <f t="shared" si="0"/>
        <v>T2_FPc_NF</v>
      </c>
      <c r="C8" s="8" t="s">
        <v>35</v>
      </c>
      <c r="D8" s="8"/>
      <c r="E8" t="s">
        <v>79</v>
      </c>
      <c r="F8" t="s">
        <v>80</v>
      </c>
      <c r="G8" s="22">
        <v>1109.0411169444301</v>
      </c>
      <c r="H8" s="23">
        <v>5.3981232457387293E-5</v>
      </c>
      <c r="I8" s="8" t="s">
        <v>26</v>
      </c>
      <c r="J8" s="8"/>
      <c r="K8" s="8"/>
      <c r="L8" s="8"/>
      <c r="M8" s="8" t="str">
        <f>VLOOKUP(E8,'LU CLASS'!$B$2:$C$8,2,FALSE)</f>
        <v>Plantations commercial</v>
      </c>
      <c r="N8" s="8" t="str">
        <f>VLOOKUP(F8,'LU CLASS'!$B$2:$C$8,2,FALSE)</f>
        <v>Non Forest</v>
      </c>
      <c r="O8" s="8" t="s">
        <v>52</v>
      </c>
    </row>
    <row r="9" spans="1:15" ht="15.75" customHeight="1">
      <c r="A9" s="8">
        <v>8</v>
      </c>
      <c r="B9" s="8" t="str">
        <f t="shared" si="0"/>
        <v>T2_FPnc_NF</v>
      </c>
      <c r="C9" s="8" t="s">
        <v>35</v>
      </c>
      <c r="D9" s="8"/>
      <c r="E9" t="s">
        <v>81</v>
      </c>
      <c r="F9" t="s">
        <v>80</v>
      </c>
      <c r="G9" s="22">
        <v>1109.0411169444301</v>
      </c>
      <c r="H9" s="23">
        <v>5.3981232457387293E-5</v>
      </c>
      <c r="I9" s="8" t="s">
        <v>26</v>
      </c>
      <c r="J9" s="8"/>
      <c r="K9" s="8"/>
      <c r="L9" s="8"/>
      <c r="M9" s="8" t="str">
        <f>VLOOKUP(E9,'LU CLASS'!$B$2:$C$8,2,FALSE)</f>
        <v>Plantations non commercial</v>
      </c>
      <c r="N9" s="8" t="str">
        <f>VLOOKUP(F9,'LU CLASS'!$B$2:$C$8,2,FALSE)</f>
        <v>Non Forest</v>
      </c>
      <c r="O9" s="8" t="s">
        <v>52</v>
      </c>
    </row>
    <row r="10" spans="1:15" ht="15.75" customHeight="1">
      <c r="A10" s="8">
        <v>9</v>
      </c>
      <c r="B10" s="9" t="str">
        <f t="shared" si="0"/>
        <v>T2_THF_NF</v>
      </c>
      <c r="C10" s="8" t="s">
        <v>35</v>
      </c>
      <c r="D10" s="9"/>
      <c r="E10" t="s">
        <v>83</v>
      </c>
      <c r="F10" t="s">
        <v>80</v>
      </c>
      <c r="G10" s="22">
        <v>6284.11300182794</v>
      </c>
      <c r="H10" s="23">
        <v>1.4043305177558588E-4</v>
      </c>
      <c r="I10" s="9" t="s">
        <v>26</v>
      </c>
      <c r="J10" s="9"/>
      <c r="K10" s="9"/>
      <c r="L10" s="9"/>
      <c r="M10" s="8" t="str">
        <f>VLOOKUP(E10,'LU CLASS'!$B$2:$C$8,2,FALSE)</f>
        <v>Tropical High Forest</v>
      </c>
      <c r="N10" s="8" t="str">
        <f>VLOOKUP(F10,'LU CLASS'!$B$2:$C$8,2,FALSE)</f>
        <v>Non Forest</v>
      </c>
      <c r="O10" s="9" t="s">
        <v>52</v>
      </c>
    </row>
    <row r="11" spans="1:15" ht="15.75" customHeight="1">
      <c r="A11" s="8">
        <v>10</v>
      </c>
      <c r="B11" s="9" t="str">
        <f t="shared" si="0"/>
        <v>T2_WD_NF</v>
      </c>
      <c r="C11" s="8" t="s">
        <v>35</v>
      </c>
      <c r="D11" s="9"/>
      <c r="E11" t="s">
        <v>84</v>
      </c>
      <c r="F11" t="s">
        <v>80</v>
      </c>
      <c r="G11" s="22">
        <v>61205.496350870897</v>
      </c>
      <c r="H11" s="23">
        <v>5.1335036695384078E-4</v>
      </c>
      <c r="I11" s="9" t="s">
        <v>26</v>
      </c>
      <c r="J11" s="9"/>
      <c r="K11" s="9"/>
      <c r="L11" s="9"/>
      <c r="M11" s="8" t="str">
        <f>VLOOKUP(E11,'LU CLASS'!$B$2:$C$8,2,FALSE)</f>
        <v>Woodlands</v>
      </c>
      <c r="N11" s="8" t="str">
        <f>VLOOKUP(F11,'LU CLASS'!$B$2:$C$8,2,FALSE)</f>
        <v>Non Forest</v>
      </c>
      <c r="O11" s="9" t="s">
        <v>52</v>
      </c>
    </row>
    <row r="12" spans="1:15" ht="15.75" customHeight="1">
      <c r="A12" s="8">
        <v>11</v>
      </c>
      <c r="B12" s="10" t="str">
        <f t="shared" si="0"/>
        <v>T2_THF_THF_deg</v>
      </c>
      <c r="C12" s="8" t="s">
        <v>35</v>
      </c>
      <c r="D12" s="10"/>
      <c r="E12" t="s">
        <v>83</v>
      </c>
      <c r="F12" t="s">
        <v>107</v>
      </c>
      <c r="G12" s="22">
        <v>3327.1233508333098</v>
      </c>
      <c r="H12" s="23">
        <v>9.3431761445507186E-5</v>
      </c>
      <c r="I12" s="10" t="s">
        <v>26</v>
      </c>
      <c r="J12" s="10"/>
      <c r="K12" s="10"/>
      <c r="L12" s="10"/>
      <c r="M12" s="8" t="str">
        <f>VLOOKUP(E12,'LU CLASS'!$B$2:$C$8,2,FALSE)</f>
        <v>Tropical High Forest</v>
      </c>
      <c r="N12" s="8" t="str">
        <f>VLOOKUP(F12,'LU CLASS'!$B$2:$C$8,2,FALSE)</f>
        <v>Tropical High Forest Degraded</v>
      </c>
      <c r="O12" s="10" t="s">
        <v>53</v>
      </c>
    </row>
    <row r="13" spans="1:15" ht="15.75" customHeight="1">
      <c r="A13" s="8">
        <v>12</v>
      </c>
      <c r="B13" s="10" t="str">
        <f t="shared" si="0"/>
        <v>T2_WD_WD_deg</v>
      </c>
      <c r="C13" s="8" t="s">
        <v>35</v>
      </c>
      <c r="D13" s="10"/>
      <c r="E13" t="s">
        <v>84</v>
      </c>
      <c r="F13" t="s">
        <v>108</v>
      </c>
      <c r="G13" s="22">
        <v>11097.1628078088</v>
      </c>
      <c r="H13" s="23">
        <v>2.3169461323105627E-4</v>
      </c>
      <c r="I13" s="10" t="s">
        <v>26</v>
      </c>
      <c r="J13" s="10"/>
      <c r="K13" s="10"/>
      <c r="L13" s="10"/>
      <c r="M13" s="8" t="str">
        <f>VLOOKUP(E13,'LU CLASS'!$B$2:$C$8,2,FALSE)</f>
        <v>Woodlands</v>
      </c>
      <c r="N13" s="8" t="str">
        <f>VLOOKUP(F13,'LU CLASS'!$B$2:$C$8,2,FALSE)</f>
        <v>Woodlands_Degraded</v>
      </c>
      <c r="O13" s="10" t="s">
        <v>53</v>
      </c>
    </row>
    <row r="14" spans="1:15" ht="15.75" customHeight="1">
      <c r="A14" s="8">
        <v>13</v>
      </c>
      <c r="B14" s="10" t="str">
        <f t="shared" ref="B14:B49" si="1">C14&amp;"_"&amp;E14&amp;"_"&amp;F14</f>
        <v>T3_FPc_NF</v>
      </c>
      <c r="C14" s="8" t="s">
        <v>87</v>
      </c>
      <c r="E14" t="s">
        <v>79</v>
      </c>
      <c r="F14" t="s">
        <v>80</v>
      </c>
      <c r="G14" s="22">
        <v>2572.3857577549502</v>
      </c>
      <c r="H14" s="23">
        <v>1.2520775960229701E-4</v>
      </c>
      <c r="I14" s="10" t="s">
        <v>26</v>
      </c>
      <c r="M14" s="8" t="str">
        <f>VLOOKUP(E14,'LU CLASS'!$B$2:$C$8,2,FALSE)</f>
        <v>Plantations commercial</v>
      </c>
      <c r="N14" s="8" t="str">
        <f>VLOOKUP(F14,'LU CLASS'!$B$2:$C$8,2,FALSE)</f>
        <v>Non Forest</v>
      </c>
      <c r="O14" s="8" t="s">
        <v>52</v>
      </c>
    </row>
    <row r="15" spans="1:15" ht="15.75" customHeight="1">
      <c r="A15" s="8">
        <v>14</v>
      </c>
      <c r="B15" s="10" t="str">
        <f t="shared" si="1"/>
        <v>T3_FPnc_NF</v>
      </c>
      <c r="C15" s="8" t="s">
        <v>87</v>
      </c>
      <c r="E15" t="s">
        <v>81</v>
      </c>
      <c r="F15" t="s">
        <v>80</v>
      </c>
      <c r="G15" s="22">
        <v>4804.9381850448099</v>
      </c>
      <c r="H15" s="23">
        <v>1.38142637339216E-4</v>
      </c>
      <c r="I15" s="10" t="s">
        <v>26</v>
      </c>
      <c r="M15" s="8" t="str">
        <f>VLOOKUP(E15,'LU CLASS'!$B$2:$C$8,2,FALSE)</f>
        <v>Plantations non commercial</v>
      </c>
      <c r="N15" s="8" t="str">
        <f>VLOOKUP(F15,'LU CLASS'!$B$2:$C$8,2,FALSE)</f>
        <v>Non Forest</v>
      </c>
      <c r="O15" s="8" t="s">
        <v>52</v>
      </c>
    </row>
    <row r="16" spans="1:15" ht="15.75" customHeight="1">
      <c r="A16" s="8">
        <v>15</v>
      </c>
      <c r="B16" s="10" t="str">
        <f t="shared" si="1"/>
        <v>T3_THF_NF</v>
      </c>
      <c r="C16" s="8" t="s">
        <v>87</v>
      </c>
      <c r="E16" t="s">
        <v>83</v>
      </c>
      <c r="F16" t="s">
        <v>80</v>
      </c>
      <c r="G16" s="22">
        <v>1109.0411169444301</v>
      </c>
      <c r="H16" s="23">
        <v>5.3981232457387293E-5</v>
      </c>
      <c r="I16" s="10" t="s">
        <v>26</v>
      </c>
      <c r="M16" s="8" t="str">
        <f>VLOOKUP(E16,'LU CLASS'!$B$2:$C$8,2,FALSE)</f>
        <v>Tropical High Forest</v>
      </c>
      <c r="N16" s="8" t="str">
        <f>VLOOKUP(F16,'LU CLASS'!$B$2:$C$8,2,FALSE)</f>
        <v>Non Forest</v>
      </c>
      <c r="O16" s="9" t="s">
        <v>52</v>
      </c>
    </row>
    <row r="17" spans="1:15" ht="15.75" customHeight="1">
      <c r="A17" s="8">
        <v>16</v>
      </c>
      <c r="B17" s="10" t="str">
        <f t="shared" si="1"/>
        <v>T3_WD_NF</v>
      </c>
      <c r="C17" s="8" t="s">
        <v>87</v>
      </c>
      <c r="E17" t="s">
        <v>84</v>
      </c>
      <c r="F17" t="s">
        <v>80</v>
      </c>
      <c r="G17" s="22">
        <v>25444.6249858316</v>
      </c>
      <c r="H17" s="23">
        <v>3.3943477215762788E-4</v>
      </c>
      <c r="I17" s="10" t="s">
        <v>26</v>
      </c>
      <c r="M17" s="8" t="str">
        <f>VLOOKUP(E17,'LU CLASS'!$B$2:$C$8,2,FALSE)</f>
        <v>Woodlands</v>
      </c>
      <c r="N17" s="8" t="str">
        <f>VLOOKUP(F17,'LU CLASS'!$B$2:$C$8,2,FALSE)</f>
        <v>Non Forest</v>
      </c>
      <c r="O17" s="9" t="s">
        <v>52</v>
      </c>
    </row>
    <row r="18" spans="1:15" ht="15.75" customHeight="1">
      <c r="A18" s="8">
        <v>17</v>
      </c>
      <c r="B18" s="10" t="str">
        <f t="shared" si="1"/>
        <v>T3_THF_THF_deg</v>
      </c>
      <c r="C18" s="8" t="s">
        <v>87</v>
      </c>
      <c r="E18" t="s">
        <v>83</v>
      </c>
      <c r="F18" t="s">
        <v>107</v>
      </c>
      <c r="G18" s="22">
        <v>0</v>
      </c>
      <c r="H18" s="23">
        <v>0</v>
      </c>
      <c r="I18" s="10" t="s">
        <v>26</v>
      </c>
      <c r="M18" s="8" t="str">
        <f>VLOOKUP(E18,'LU CLASS'!$B$2:$C$8,2,FALSE)</f>
        <v>Tropical High Forest</v>
      </c>
      <c r="N18" s="8" t="str">
        <f>VLOOKUP(F18,'LU CLASS'!$B$2:$C$8,2,FALSE)</f>
        <v>Tropical High Forest Degraded</v>
      </c>
      <c r="O18" s="10" t="s">
        <v>53</v>
      </c>
    </row>
    <row r="19" spans="1:15" ht="15.75" customHeight="1">
      <c r="A19" s="8">
        <v>18</v>
      </c>
      <c r="B19" s="10" t="str">
        <f t="shared" si="1"/>
        <v>T3_WD_WD_deg</v>
      </c>
      <c r="C19" s="8" t="s">
        <v>87</v>
      </c>
      <c r="E19" t="s">
        <v>84</v>
      </c>
      <c r="F19" t="s">
        <v>108</v>
      </c>
      <c r="G19" s="22">
        <v>8116.2313599055196</v>
      </c>
      <c r="H19" s="23">
        <v>1.9978494659761209E-4</v>
      </c>
      <c r="I19" s="10" t="s">
        <v>26</v>
      </c>
      <c r="M19" s="8" t="str">
        <f>VLOOKUP(E19,'LU CLASS'!$B$2:$C$8,2,FALSE)</f>
        <v>Woodlands</v>
      </c>
      <c r="N19" s="8" t="str">
        <f>VLOOKUP(F19,'LU CLASS'!$B$2:$C$8,2,FALSE)</f>
        <v>Woodlands_Degraded</v>
      </c>
      <c r="O19" s="10" t="s">
        <v>53</v>
      </c>
    </row>
    <row r="20" spans="1:15" ht="15.75" customHeight="1">
      <c r="A20" s="8">
        <v>19</v>
      </c>
      <c r="B20" s="10" t="str">
        <f t="shared" si="1"/>
        <v>T4_FPc_NF</v>
      </c>
      <c r="C20" s="8" t="s">
        <v>88</v>
      </c>
      <c r="E20" t="s">
        <v>79</v>
      </c>
      <c r="F20" t="s">
        <v>80</v>
      </c>
      <c r="G20" s="22">
        <v>1109.0411169444301</v>
      </c>
      <c r="H20" s="23">
        <v>5.3981232457387293E-5</v>
      </c>
      <c r="I20" s="10" t="s">
        <v>26</v>
      </c>
      <c r="M20" s="8" t="str">
        <f>VLOOKUP(E20,'LU CLASS'!$B$2:$C$8,2,FALSE)</f>
        <v>Plantations commercial</v>
      </c>
      <c r="N20" s="8" t="str">
        <f>VLOOKUP(F20,'LU CLASS'!$B$2:$C$8,2,FALSE)</f>
        <v>Non Forest</v>
      </c>
      <c r="O20" s="8" t="s">
        <v>52</v>
      </c>
    </row>
    <row r="21" spans="1:15" ht="15.75" customHeight="1">
      <c r="A21" s="8">
        <v>20</v>
      </c>
      <c r="B21" s="10" t="str">
        <f t="shared" si="1"/>
        <v>T4_FPnc_NF</v>
      </c>
      <c r="C21" s="8" t="s">
        <v>88</v>
      </c>
      <c r="E21" t="s">
        <v>81</v>
      </c>
      <c r="F21" t="s">
        <v>80</v>
      </c>
      <c r="G21" s="22">
        <v>4066.0307679390598</v>
      </c>
      <c r="H21" s="23">
        <v>1.1795849125508571E-4</v>
      </c>
      <c r="I21" s="10" t="s">
        <v>26</v>
      </c>
      <c r="M21" s="8" t="str">
        <f>VLOOKUP(E21,'LU CLASS'!$B$2:$C$8,2,FALSE)</f>
        <v>Plantations non commercial</v>
      </c>
      <c r="N21" s="8" t="str">
        <f>VLOOKUP(F21,'LU CLASS'!$B$2:$C$8,2,FALSE)</f>
        <v>Non Forest</v>
      </c>
      <c r="O21" s="8" t="s">
        <v>52</v>
      </c>
    </row>
    <row r="22" spans="1:15" ht="15.75" customHeight="1">
      <c r="A22" s="8">
        <v>21</v>
      </c>
      <c r="B22" s="10" t="str">
        <f t="shared" si="1"/>
        <v>T4_THF_NF</v>
      </c>
      <c r="C22" s="8" t="s">
        <v>88</v>
      </c>
      <c r="E22" t="s">
        <v>83</v>
      </c>
      <c r="F22" t="s">
        <v>80</v>
      </c>
      <c r="G22" s="22">
        <v>2218.0822338888702</v>
      </c>
      <c r="H22" s="23">
        <v>7.6313857238086952E-5</v>
      </c>
      <c r="I22" s="10" t="s">
        <v>26</v>
      </c>
      <c r="M22" s="8" t="str">
        <f>VLOOKUP(E22,'LU CLASS'!$B$2:$C$8,2,FALSE)</f>
        <v>Tropical High Forest</v>
      </c>
      <c r="N22" s="8" t="str">
        <f>VLOOKUP(F22,'LU CLASS'!$B$2:$C$8,2,FALSE)</f>
        <v>Non Forest</v>
      </c>
      <c r="O22" s="9" t="s">
        <v>52</v>
      </c>
    </row>
    <row r="23" spans="1:15" ht="15.75" customHeight="1">
      <c r="A23" s="8">
        <v>22</v>
      </c>
      <c r="B23" s="10" t="str">
        <f t="shared" si="1"/>
        <v>T4_WD_NF</v>
      </c>
      <c r="C23" s="8" t="s">
        <v>88</v>
      </c>
      <c r="E23" t="s">
        <v>84</v>
      </c>
      <c r="F23" t="s">
        <v>80</v>
      </c>
      <c r="G23" s="22">
        <v>46165.158683032001</v>
      </c>
      <c r="H23" s="23">
        <v>4.9574745128585455E-4</v>
      </c>
      <c r="I23" s="10" t="s">
        <v>26</v>
      </c>
      <c r="M23" s="8" t="str">
        <f>VLOOKUP(E23,'LU CLASS'!$B$2:$C$8,2,FALSE)</f>
        <v>Woodlands</v>
      </c>
      <c r="N23" s="8" t="str">
        <f>VLOOKUP(F23,'LU CLASS'!$B$2:$C$8,2,FALSE)</f>
        <v>Non Forest</v>
      </c>
      <c r="O23" s="9" t="s">
        <v>52</v>
      </c>
    </row>
    <row r="24" spans="1:15" ht="15.75" customHeight="1">
      <c r="A24" s="8">
        <v>23</v>
      </c>
      <c r="B24" s="10" t="str">
        <f t="shared" si="1"/>
        <v>T4_THF_THF_deg</v>
      </c>
      <c r="C24" s="8" t="s">
        <v>88</v>
      </c>
      <c r="E24" t="s">
        <v>83</v>
      </c>
      <c r="F24" t="s">
        <v>107</v>
      </c>
      <c r="G24" s="22">
        <v>1847.9485340501799</v>
      </c>
      <c r="H24" s="23">
        <v>8.9946655594419107E-5</v>
      </c>
      <c r="I24" s="10" t="s">
        <v>26</v>
      </c>
      <c r="M24" s="8" t="str">
        <f>VLOOKUP(E24,'LU CLASS'!$B$2:$C$8,2,FALSE)</f>
        <v>Tropical High Forest</v>
      </c>
      <c r="N24" s="8" t="str">
        <f>VLOOKUP(F24,'LU CLASS'!$B$2:$C$8,2,FALSE)</f>
        <v>Tropical High Forest Degraded</v>
      </c>
      <c r="O24" s="10" t="s">
        <v>53</v>
      </c>
    </row>
    <row r="25" spans="1:15" ht="15.75" customHeight="1">
      <c r="A25" s="8">
        <v>24</v>
      </c>
      <c r="B25" s="10" t="str">
        <f t="shared" si="1"/>
        <v>T4_WD_WD_deg</v>
      </c>
      <c r="C25" s="8" t="s">
        <v>88</v>
      </c>
      <c r="E25" t="s">
        <v>84</v>
      </c>
      <c r="F25" t="s">
        <v>108</v>
      </c>
      <c r="G25" s="22">
        <v>5990.8032826085901</v>
      </c>
      <c r="H25" s="23">
        <v>1.5058273999873047E-4</v>
      </c>
      <c r="I25" s="10" t="s">
        <v>26</v>
      </c>
      <c r="M25" s="8" t="str">
        <f>VLOOKUP(E25,'LU CLASS'!$B$2:$C$8,2,FALSE)</f>
        <v>Woodlands</v>
      </c>
      <c r="N25" s="8" t="str">
        <f>VLOOKUP(F25,'LU CLASS'!$B$2:$C$8,2,FALSE)</f>
        <v>Woodlands_Degraded</v>
      </c>
      <c r="O25" s="10" t="s">
        <v>53</v>
      </c>
    </row>
    <row r="26" spans="1:15" ht="15.75" customHeight="1">
      <c r="A26" s="8">
        <v>25</v>
      </c>
      <c r="B26" s="10" t="str">
        <f t="shared" si="1"/>
        <v>T5_FPc_NF</v>
      </c>
      <c r="C26" s="8" t="s">
        <v>89</v>
      </c>
      <c r="E26" t="s">
        <v>79</v>
      </c>
      <c r="F26" t="s">
        <v>80</v>
      </c>
      <c r="G26" s="22">
        <v>2218.0822338888702</v>
      </c>
      <c r="H26" s="23">
        <v>7.6313857238086952E-5</v>
      </c>
      <c r="I26" s="10" t="s">
        <v>26</v>
      </c>
      <c r="M26" s="8" t="str">
        <f>VLOOKUP(E26,'LU CLASS'!$B$2:$C$8,2,FALSE)</f>
        <v>Plantations commercial</v>
      </c>
      <c r="N26" s="8" t="str">
        <f>VLOOKUP(F26,'LU CLASS'!$B$2:$C$8,2,FALSE)</f>
        <v>Non Forest</v>
      </c>
      <c r="O26" s="8" t="s">
        <v>52</v>
      </c>
    </row>
    <row r="27" spans="1:15" ht="15.75" customHeight="1">
      <c r="A27" s="8">
        <v>26</v>
      </c>
      <c r="B27" s="10" t="str">
        <f t="shared" si="1"/>
        <v>T5_FPnc_NF</v>
      </c>
      <c r="C27" s="8" t="s">
        <v>89</v>
      </c>
      <c r="E27" t="s">
        <v>81</v>
      </c>
      <c r="F27" t="s">
        <v>80</v>
      </c>
      <c r="G27" s="22">
        <v>3327.1233508333098</v>
      </c>
      <c r="H27" s="23">
        <v>9.3431761445507186E-5</v>
      </c>
      <c r="I27" s="10" t="s">
        <v>26</v>
      </c>
      <c r="M27" s="8" t="str">
        <f>VLOOKUP(E27,'LU CLASS'!$B$2:$C$8,2,FALSE)</f>
        <v>Plantations non commercial</v>
      </c>
      <c r="N27" s="8" t="str">
        <f>VLOOKUP(F27,'LU CLASS'!$B$2:$C$8,2,FALSE)</f>
        <v>Non Forest</v>
      </c>
      <c r="O27" s="8" t="s">
        <v>52</v>
      </c>
    </row>
    <row r="28" spans="1:15" ht="15.75" customHeight="1">
      <c r="A28" s="8">
        <v>27</v>
      </c>
      <c r="B28" s="10" t="str">
        <f t="shared" si="1"/>
        <v>T5_THF_NF</v>
      </c>
      <c r="C28" s="8" t="s">
        <v>89</v>
      </c>
      <c r="E28" t="s">
        <v>83</v>
      </c>
      <c r="F28" t="s">
        <v>80</v>
      </c>
      <c r="G28" s="22">
        <v>5913.9793019892504</v>
      </c>
      <c r="H28" s="23">
        <v>1.4830111125669606E-4</v>
      </c>
      <c r="I28" s="10" t="s">
        <v>26</v>
      </c>
      <c r="M28" s="8" t="str">
        <f>VLOOKUP(E28,'LU CLASS'!$B$2:$C$8,2,FALSE)</f>
        <v>Tropical High Forest</v>
      </c>
      <c r="N28" s="8" t="str">
        <f>VLOOKUP(F28,'LU CLASS'!$B$2:$C$8,2,FALSE)</f>
        <v>Non Forest</v>
      </c>
      <c r="O28" s="9" t="s">
        <v>52</v>
      </c>
    </row>
    <row r="29" spans="1:15" ht="15.75" customHeight="1">
      <c r="A29" s="8">
        <v>28</v>
      </c>
      <c r="B29" s="10" t="str">
        <f t="shared" si="1"/>
        <v>T5_WD_NF</v>
      </c>
      <c r="C29" s="8" t="s">
        <v>89</v>
      </c>
      <c r="E29" t="s">
        <v>84</v>
      </c>
      <c r="F29" t="s">
        <v>80</v>
      </c>
      <c r="G29" s="22">
        <v>44026.236086433099</v>
      </c>
      <c r="H29" s="23">
        <v>4.35222149177192E-4</v>
      </c>
      <c r="I29" s="10" t="s">
        <v>26</v>
      </c>
      <c r="M29" s="8" t="str">
        <f>VLOOKUP(E29,'LU CLASS'!$B$2:$C$8,2,FALSE)</f>
        <v>Woodlands</v>
      </c>
      <c r="N29" s="8" t="str">
        <f>VLOOKUP(F29,'LU CLASS'!$B$2:$C$8,2,FALSE)</f>
        <v>Non Forest</v>
      </c>
      <c r="O29" s="9" t="s">
        <v>52</v>
      </c>
    </row>
    <row r="30" spans="1:15" ht="15.75" customHeight="1">
      <c r="A30" s="8">
        <v>29</v>
      </c>
      <c r="B30" s="10" t="str">
        <f t="shared" si="1"/>
        <v>T5_THF_THF_deg</v>
      </c>
      <c r="C30" s="8" t="s">
        <v>89</v>
      </c>
      <c r="E30" t="s">
        <v>83</v>
      </c>
      <c r="F30" t="s">
        <v>107</v>
      </c>
      <c r="G30" s="22">
        <v>0</v>
      </c>
      <c r="H30" s="23">
        <v>0</v>
      </c>
      <c r="I30" s="10" t="s">
        <v>26</v>
      </c>
      <c r="M30" s="8" t="str">
        <f>VLOOKUP(E30,'LU CLASS'!$B$2:$C$8,2,FALSE)</f>
        <v>Tropical High Forest</v>
      </c>
      <c r="N30" s="8" t="str">
        <f>VLOOKUP(F30,'LU CLASS'!$B$2:$C$8,2,FALSE)</f>
        <v>Tropical High Forest Degraded</v>
      </c>
      <c r="O30" s="10" t="s">
        <v>53</v>
      </c>
    </row>
    <row r="31" spans="1:15" ht="15.75" customHeight="1">
      <c r="A31" s="8">
        <v>30</v>
      </c>
      <c r="B31" s="10" t="str">
        <f t="shared" si="1"/>
        <v>T5_WD_WD_deg</v>
      </c>
      <c r="C31" s="8" t="s">
        <v>89</v>
      </c>
      <c r="E31" t="s">
        <v>84</v>
      </c>
      <c r="F31" t="s">
        <v>108</v>
      </c>
      <c r="G31" s="22">
        <v>12259.0861084639</v>
      </c>
      <c r="H31" s="23">
        <v>2.3349852128775391E-4</v>
      </c>
      <c r="I31" s="10" t="s">
        <v>26</v>
      </c>
      <c r="M31" s="8" t="str">
        <f>VLOOKUP(E31,'LU CLASS'!$B$2:$C$8,2,FALSE)</f>
        <v>Woodlands</v>
      </c>
      <c r="N31" s="8" t="str">
        <f>VLOOKUP(F31,'LU CLASS'!$B$2:$C$8,2,FALSE)</f>
        <v>Woodlands_Degraded</v>
      </c>
      <c r="O31" s="10" t="s">
        <v>53</v>
      </c>
    </row>
    <row r="32" spans="1:15" ht="15.75" customHeight="1">
      <c r="A32" s="8">
        <v>31</v>
      </c>
      <c r="B32" s="10" t="str">
        <f t="shared" si="1"/>
        <v>T6_FPc_NF</v>
      </c>
      <c r="C32" s="8" t="s">
        <v>90</v>
      </c>
      <c r="E32" t="s">
        <v>79</v>
      </c>
      <c r="F32" t="s">
        <v>80</v>
      </c>
      <c r="G32" s="22">
        <v>1109.0411169444301</v>
      </c>
      <c r="H32" s="23">
        <v>5.3981232457387293E-5</v>
      </c>
      <c r="I32" s="10" t="s">
        <v>26</v>
      </c>
      <c r="M32" s="8" t="str">
        <f>VLOOKUP(E32,'LU CLASS'!$B$2:$C$8,2,FALSE)</f>
        <v>Plantations commercial</v>
      </c>
      <c r="N32" s="8" t="str">
        <f>VLOOKUP(F32,'LU CLASS'!$B$2:$C$8,2,FALSE)</f>
        <v>Non Forest</v>
      </c>
      <c r="O32" s="8" t="s">
        <v>52</v>
      </c>
    </row>
    <row r="33" spans="1:15" ht="15.75" customHeight="1">
      <c r="A33" s="8">
        <v>32</v>
      </c>
      <c r="B33" s="10" t="str">
        <f t="shared" si="1"/>
        <v>T6_FPnc_NF</v>
      </c>
      <c r="C33" s="8" t="s">
        <v>90</v>
      </c>
      <c r="E33" t="s">
        <v>81</v>
      </c>
      <c r="F33" t="s">
        <v>80</v>
      </c>
      <c r="G33" s="22">
        <v>4436.1644677777504</v>
      </c>
      <c r="H33" s="23">
        <v>1.078473049194242E-4</v>
      </c>
      <c r="I33" s="10" t="s">
        <v>26</v>
      </c>
      <c r="M33" s="8" t="str">
        <f>VLOOKUP(E33,'LU CLASS'!$B$2:$C$8,2,FALSE)</f>
        <v>Plantations non commercial</v>
      </c>
      <c r="N33" s="8" t="str">
        <f>VLOOKUP(F33,'LU CLASS'!$B$2:$C$8,2,FALSE)</f>
        <v>Non Forest</v>
      </c>
      <c r="O33" s="8" t="s">
        <v>52</v>
      </c>
    </row>
    <row r="34" spans="1:15" ht="15.75" customHeight="1">
      <c r="A34" s="8">
        <v>33</v>
      </c>
      <c r="B34" s="10" t="str">
        <f t="shared" si="1"/>
        <v>T6_THF_NF</v>
      </c>
      <c r="C34" s="8" t="s">
        <v>90</v>
      </c>
      <c r="E34" t="s">
        <v>83</v>
      </c>
      <c r="F34" t="s">
        <v>80</v>
      </c>
      <c r="G34" s="22">
        <v>4436.1644677777504</v>
      </c>
      <c r="H34" s="23">
        <v>1.078473049194242E-4</v>
      </c>
      <c r="I34" s="10" t="s">
        <v>26</v>
      </c>
      <c r="M34" s="8" t="str">
        <f>VLOOKUP(E34,'LU CLASS'!$B$2:$C$8,2,FALSE)</f>
        <v>Tropical High Forest</v>
      </c>
      <c r="N34" s="8" t="str">
        <f>VLOOKUP(F34,'LU CLASS'!$B$2:$C$8,2,FALSE)</f>
        <v>Non Forest</v>
      </c>
      <c r="O34" s="9" t="s">
        <v>52</v>
      </c>
    </row>
    <row r="35" spans="1:15" ht="15.75" customHeight="1">
      <c r="A35" s="8">
        <v>34</v>
      </c>
      <c r="B35" s="10" t="str">
        <f t="shared" si="1"/>
        <v>T6_WD_NF</v>
      </c>
      <c r="C35" s="8" t="s">
        <v>90</v>
      </c>
      <c r="E35" t="s">
        <v>84</v>
      </c>
      <c r="F35" t="s">
        <v>80</v>
      </c>
      <c r="G35" s="22">
        <v>27937.9497243531</v>
      </c>
      <c r="H35" s="23">
        <v>3.2563473570260674E-4</v>
      </c>
      <c r="I35" s="10" t="s">
        <v>26</v>
      </c>
      <c r="M35" s="8" t="str">
        <f>VLOOKUP(E35,'LU CLASS'!$B$2:$C$8,2,FALSE)</f>
        <v>Woodlands</v>
      </c>
      <c r="N35" s="8" t="str">
        <f>VLOOKUP(F35,'LU CLASS'!$B$2:$C$8,2,FALSE)</f>
        <v>Non Forest</v>
      </c>
      <c r="O35" s="9" t="s">
        <v>52</v>
      </c>
    </row>
    <row r="36" spans="1:15" ht="15.75" customHeight="1">
      <c r="A36" s="8">
        <v>35</v>
      </c>
      <c r="B36" s="10" t="str">
        <f t="shared" si="1"/>
        <v>T6_THF_THF_deg</v>
      </c>
      <c r="C36" s="8" t="s">
        <v>90</v>
      </c>
      <c r="E36" t="s">
        <v>83</v>
      </c>
      <c r="F36" t="s">
        <v>107</v>
      </c>
      <c r="G36" s="22">
        <v>0</v>
      </c>
      <c r="H36" s="23">
        <v>0</v>
      </c>
      <c r="I36" s="10" t="s">
        <v>26</v>
      </c>
      <c r="M36" s="8" t="str">
        <f>VLOOKUP(E36,'LU CLASS'!$B$2:$C$8,2,FALSE)</f>
        <v>Tropical High Forest</v>
      </c>
      <c r="N36" s="8" t="str">
        <f>VLOOKUP(F36,'LU CLASS'!$B$2:$C$8,2,FALSE)</f>
        <v>Tropical High Forest Degraded</v>
      </c>
      <c r="O36" s="10" t="s">
        <v>53</v>
      </c>
    </row>
    <row r="37" spans="1:15" ht="15.75" customHeight="1">
      <c r="A37" s="8">
        <v>36</v>
      </c>
      <c r="B37" s="10" t="str">
        <f t="shared" si="1"/>
        <v>T6_WD_WD_deg</v>
      </c>
      <c r="C37" s="8" t="s">
        <v>90</v>
      </c>
      <c r="E37" t="s">
        <v>84</v>
      </c>
      <c r="F37" t="s">
        <v>108</v>
      </c>
      <c r="G37" s="22">
        <v>9374.0513188118002</v>
      </c>
      <c r="H37" s="23">
        <v>2.3023413696328631E-4</v>
      </c>
      <c r="I37" s="10" t="s">
        <v>26</v>
      </c>
      <c r="M37" s="8" t="str">
        <f>VLOOKUP(E37,'LU CLASS'!$B$2:$C$8,2,FALSE)</f>
        <v>Woodlands</v>
      </c>
      <c r="N37" s="8" t="str">
        <f>VLOOKUP(F37,'LU CLASS'!$B$2:$C$8,2,FALSE)</f>
        <v>Woodlands_Degraded</v>
      </c>
      <c r="O37" s="10" t="s">
        <v>53</v>
      </c>
    </row>
    <row r="38" spans="1:15" ht="15.75" customHeight="1">
      <c r="A38" s="8">
        <v>37</v>
      </c>
      <c r="B38" s="10" t="str">
        <f t="shared" si="1"/>
        <v>T7_FPc_NF</v>
      </c>
      <c r="C38" s="8" t="s">
        <v>91</v>
      </c>
      <c r="E38" t="s">
        <v>79</v>
      </c>
      <c r="F38" t="s">
        <v>80</v>
      </c>
      <c r="G38" s="22">
        <v>8279.4803952683396</v>
      </c>
      <c r="H38" s="23">
        <v>2.183681958592565E-4</v>
      </c>
      <c r="I38" s="10" t="s">
        <v>26</v>
      </c>
      <c r="M38" s="8" t="str">
        <f>VLOOKUP(E38,'LU CLASS'!$B$2:$C$8,2,FALSE)</f>
        <v>Plantations commercial</v>
      </c>
      <c r="N38" s="8" t="str">
        <f>VLOOKUP(F38,'LU CLASS'!$B$2:$C$8,2,FALSE)</f>
        <v>Non Forest</v>
      </c>
      <c r="O38" s="8" t="s">
        <v>52</v>
      </c>
    </row>
    <row r="39" spans="1:15" ht="15.75" customHeight="1">
      <c r="A39" s="8">
        <v>38</v>
      </c>
      <c r="B39" s="10" t="str">
        <f t="shared" si="1"/>
        <v>T7_FPnc_NF</v>
      </c>
      <c r="C39" s="8" t="s">
        <v>91</v>
      </c>
      <c r="E39" t="s">
        <v>81</v>
      </c>
      <c r="F39" t="s">
        <v>80</v>
      </c>
      <c r="G39" s="22">
        <v>1886.3605243598499</v>
      </c>
      <c r="H39" s="23">
        <v>9.1816312675997686E-5</v>
      </c>
      <c r="I39" s="10" t="s">
        <v>26</v>
      </c>
      <c r="M39" s="8" t="str">
        <f>VLOOKUP(E39,'LU CLASS'!$B$2:$C$8,2,FALSE)</f>
        <v>Plantations non commercial</v>
      </c>
      <c r="N39" s="8" t="str">
        <f>VLOOKUP(F39,'LU CLASS'!$B$2:$C$8,2,FALSE)</f>
        <v>Non Forest</v>
      </c>
      <c r="O39" s="8" t="s">
        <v>52</v>
      </c>
    </row>
    <row r="40" spans="1:15" ht="15.75" customHeight="1">
      <c r="A40" s="8">
        <v>39</v>
      </c>
      <c r="B40" s="10" t="str">
        <f t="shared" si="1"/>
        <v>T7_THF_NF</v>
      </c>
      <c r="C40" s="8" t="s">
        <v>91</v>
      </c>
      <c r="E40" t="s">
        <v>83</v>
      </c>
      <c r="F40" t="s">
        <v>80</v>
      </c>
      <c r="G40" s="22">
        <v>4104.4427582487297</v>
      </c>
      <c r="H40" s="23">
        <v>1.1939028469675316E-4</v>
      </c>
      <c r="I40" s="10" t="s">
        <v>26</v>
      </c>
      <c r="M40" s="8" t="str">
        <f>VLOOKUP(E40,'LU CLASS'!$B$2:$C$8,2,FALSE)</f>
        <v>Tropical High Forest</v>
      </c>
      <c r="N40" s="8" t="str">
        <f>VLOOKUP(F40,'LU CLASS'!$B$2:$C$8,2,FALSE)</f>
        <v>Non Forest</v>
      </c>
      <c r="O40" s="9" t="s">
        <v>52</v>
      </c>
    </row>
    <row r="41" spans="1:15" ht="15.75" customHeight="1">
      <c r="A41" s="8">
        <v>40</v>
      </c>
      <c r="B41" s="10" t="str">
        <f t="shared" si="1"/>
        <v>T7_WD_NF</v>
      </c>
      <c r="C41" s="8" t="s">
        <v>91</v>
      </c>
      <c r="E41" t="s">
        <v>84</v>
      </c>
      <c r="F41" t="s">
        <v>80</v>
      </c>
      <c r="G41" s="22">
        <v>27016.453959206701</v>
      </c>
      <c r="H41" s="23">
        <v>3.2288227375437678E-4</v>
      </c>
      <c r="I41" s="10" t="s">
        <v>26</v>
      </c>
      <c r="M41" s="8" t="str">
        <f>VLOOKUP(E41,'LU CLASS'!$B$2:$C$8,2,FALSE)</f>
        <v>Woodlands</v>
      </c>
      <c r="N41" s="8" t="str">
        <f>VLOOKUP(F41,'LU CLASS'!$B$2:$C$8,2,FALSE)</f>
        <v>Non Forest</v>
      </c>
      <c r="O41" s="9" t="s">
        <v>52</v>
      </c>
    </row>
    <row r="42" spans="1:15" ht="15.75" customHeight="1">
      <c r="A42" s="8">
        <v>41</v>
      </c>
      <c r="B42" s="10" t="str">
        <f t="shared" si="1"/>
        <v>T7_THF_THF_deg</v>
      </c>
      <c r="C42" s="8" t="s">
        <v>91</v>
      </c>
      <c r="E42" t="s">
        <v>83</v>
      </c>
      <c r="F42" t="s">
        <v>107</v>
      </c>
      <c r="G42" s="22">
        <v>1109.0411169444301</v>
      </c>
      <c r="H42" s="23">
        <v>5.3981232457387293E-5</v>
      </c>
      <c r="I42" s="10" t="s">
        <v>26</v>
      </c>
      <c r="M42" s="8" t="str">
        <f>VLOOKUP(E42,'LU CLASS'!$B$2:$C$8,2,FALSE)</f>
        <v>Tropical High Forest</v>
      </c>
      <c r="N42" s="8" t="str">
        <f>VLOOKUP(F42,'LU CLASS'!$B$2:$C$8,2,FALSE)</f>
        <v>Tropical High Forest Degraded</v>
      </c>
      <c r="O42" s="10" t="s">
        <v>53</v>
      </c>
    </row>
    <row r="43" spans="1:15" ht="15.75" customHeight="1">
      <c r="A43" s="8">
        <v>42</v>
      </c>
      <c r="B43" s="10" t="str">
        <f t="shared" si="1"/>
        <v>T7_WD_WD_deg</v>
      </c>
      <c r="C43" s="8" t="s">
        <v>91</v>
      </c>
      <c r="E43" t="s">
        <v>84</v>
      </c>
      <c r="F43" t="s">
        <v>108</v>
      </c>
      <c r="G43" s="22">
        <v>4790.4679916438199</v>
      </c>
      <c r="H43" s="23">
        <v>1.4663146957997014E-4</v>
      </c>
      <c r="I43" s="10" t="s">
        <v>26</v>
      </c>
      <c r="M43" s="8" t="str">
        <f>VLOOKUP(E43,'LU CLASS'!$B$2:$C$8,2,FALSE)</f>
        <v>Woodlands</v>
      </c>
      <c r="N43" s="8" t="str">
        <f>VLOOKUP(F43,'LU CLASS'!$B$2:$C$8,2,FALSE)</f>
        <v>Woodlands_Degraded</v>
      </c>
      <c r="O43" s="10" t="s">
        <v>53</v>
      </c>
    </row>
    <row r="44" spans="1:15" ht="15.75" customHeight="1">
      <c r="A44" s="8">
        <v>43</v>
      </c>
      <c r="B44" s="10" t="str">
        <f t="shared" si="1"/>
        <v>T8_FPc_NF</v>
      </c>
      <c r="C44" s="8" t="s">
        <v>92</v>
      </c>
      <c r="E44" t="s">
        <v>79</v>
      </c>
      <c r="F44" t="s">
        <v>80</v>
      </c>
      <c r="G44" s="22">
        <v>0</v>
      </c>
      <c r="H44" s="23">
        <v>0</v>
      </c>
      <c r="I44" s="10" t="s">
        <v>26</v>
      </c>
      <c r="M44" s="8" t="str">
        <f>VLOOKUP(E44,'LU CLASS'!$B$2:$C$8,2,FALSE)</f>
        <v>Plantations commercial</v>
      </c>
      <c r="N44" s="8" t="str">
        <f>VLOOKUP(F44,'LU CLASS'!$B$2:$C$8,2,FALSE)</f>
        <v>Non Forest</v>
      </c>
      <c r="O44" s="8" t="s">
        <v>52</v>
      </c>
    </row>
    <row r="45" spans="1:15" ht="15.75" customHeight="1">
      <c r="A45" s="8">
        <v>44</v>
      </c>
      <c r="B45" s="10" t="str">
        <f t="shared" si="1"/>
        <v>T8_FPnc_NF</v>
      </c>
      <c r="C45" s="8" t="s">
        <v>92</v>
      </c>
      <c r="E45" t="s">
        <v>81</v>
      </c>
      <c r="F45" t="s">
        <v>80</v>
      </c>
      <c r="G45" s="22">
        <v>3405.9716386991013</v>
      </c>
      <c r="H45" s="23">
        <v>1.1504754688758652E-4</v>
      </c>
      <c r="I45" s="10" t="s">
        <v>26</v>
      </c>
      <c r="M45" s="8" t="str">
        <f>VLOOKUP(E45,'LU CLASS'!$B$2:$C$8,2,FALSE)</f>
        <v>Plantations non commercial</v>
      </c>
      <c r="N45" s="8" t="str">
        <f>VLOOKUP(F45,'LU CLASS'!$B$2:$C$8,2,FALSE)</f>
        <v>Non Forest</v>
      </c>
      <c r="O45" s="8" t="s">
        <v>52</v>
      </c>
    </row>
    <row r="46" spans="1:15" ht="15.75" customHeight="1">
      <c r="A46" s="8">
        <v>45</v>
      </c>
      <c r="B46" s="10" t="str">
        <f t="shared" si="1"/>
        <v>T8_THF_NF</v>
      </c>
      <c r="C46" s="8" t="s">
        <v>92</v>
      </c>
      <c r="E46" t="s">
        <v>83</v>
      </c>
      <c r="F46" t="s">
        <v>80</v>
      </c>
      <c r="G46" s="22">
        <v>599.57913353622826</v>
      </c>
      <c r="H46" s="23">
        <v>2.9183787769015261E-5</v>
      </c>
      <c r="I46" s="10" t="s">
        <v>26</v>
      </c>
      <c r="M46" s="8" t="str">
        <f>VLOOKUP(E46,'LU CLASS'!$B$2:$C$8,2,FALSE)</f>
        <v>Tropical High Forest</v>
      </c>
      <c r="N46" s="8" t="str">
        <f>VLOOKUP(F46,'LU CLASS'!$B$2:$C$8,2,FALSE)</f>
        <v>Non Forest</v>
      </c>
      <c r="O46" s="9" t="s">
        <v>52</v>
      </c>
    </row>
    <row r="47" spans="1:15" ht="15.75" customHeight="1">
      <c r="A47" s="8">
        <v>46</v>
      </c>
      <c r="B47" s="10" t="str">
        <f t="shared" si="1"/>
        <v>T8_WD_NF</v>
      </c>
      <c r="C47" s="8" t="s">
        <v>92</v>
      </c>
      <c r="E47" t="s">
        <v>84</v>
      </c>
      <c r="F47" t="s">
        <v>80</v>
      </c>
      <c r="G47" s="22">
        <v>22699.076814764885</v>
      </c>
      <c r="H47" s="23">
        <v>3.9039854748303024E-4</v>
      </c>
      <c r="I47" s="10" t="s">
        <v>26</v>
      </c>
      <c r="M47" s="8" t="str">
        <f>VLOOKUP(E47,'LU CLASS'!$B$2:$C$8,2,FALSE)</f>
        <v>Woodlands</v>
      </c>
      <c r="N47" s="8" t="str">
        <f>VLOOKUP(F47,'LU CLASS'!$B$2:$C$8,2,FALSE)</f>
        <v>Non Forest</v>
      </c>
      <c r="O47" s="9" t="s">
        <v>52</v>
      </c>
    </row>
    <row r="48" spans="1:15" ht="15.75" customHeight="1">
      <c r="A48" s="8">
        <v>47</v>
      </c>
      <c r="B48" s="10" t="str">
        <f t="shared" si="1"/>
        <v>T8_THF_THF_deg</v>
      </c>
      <c r="C48" s="8" t="s">
        <v>92</v>
      </c>
      <c r="E48" t="s">
        <v>83</v>
      </c>
      <c r="F48" t="s">
        <v>107</v>
      </c>
      <c r="G48" s="22">
        <v>7748.6516177037547</v>
      </c>
      <c r="H48" s="23">
        <v>2.1741834445307594E-4</v>
      </c>
      <c r="I48" s="10" t="s">
        <v>26</v>
      </c>
      <c r="M48" s="8" t="str">
        <f>VLOOKUP(E48,'LU CLASS'!$B$2:$C$8,2,FALSE)</f>
        <v>Tropical High Forest</v>
      </c>
      <c r="N48" s="8" t="str">
        <f>VLOOKUP(F48,'LU CLASS'!$B$2:$C$8,2,FALSE)</f>
        <v>Tropical High Forest Degraded</v>
      </c>
      <c r="O48" s="10" t="s">
        <v>53</v>
      </c>
    </row>
    <row r="49" spans="1:15" ht="15.75" customHeight="1">
      <c r="A49" s="8">
        <v>48</v>
      </c>
      <c r="B49" s="10" t="str">
        <f t="shared" si="1"/>
        <v>T8_WD_WD_deg</v>
      </c>
      <c r="C49" s="8" t="s">
        <v>92</v>
      </c>
      <c r="E49" t="s">
        <v>84</v>
      </c>
      <c r="F49" t="s">
        <v>108</v>
      </c>
      <c r="G49" s="22">
        <v>6549.4933506312918</v>
      </c>
      <c r="H49" s="23">
        <v>2.1350170250074125E-4</v>
      </c>
      <c r="I49" s="10" t="s">
        <v>26</v>
      </c>
      <c r="M49" s="8" t="str">
        <f>VLOOKUP(E49,'LU CLASS'!$B$2:$C$8,2,FALSE)</f>
        <v>Woodlands</v>
      </c>
      <c r="N49" s="8" t="str">
        <f>VLOOKUP(F49,'LU CLASS'!$B$2:$C$8,2,FALSE)</f>
        <v>Woodlands_Degraded</v>
      </c>
      <c r="O49" s="10" t="s">
        <v>53</v>
      </c>
    </row>
  </sheetData>
  <phoneticPr fontId="10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4"/>
  <sheetViews>
    <sheetView zoomScale="150" zoomScaleNormal="150" workbookViewId="0">
      <selection activeCell="D14" sqref="D14"/>
    </sheetView>
  </sheetViews>
  <sheetFormatPr defaultColWidth="12.6328125" defaultRowHeight="12.5"/>
  <cols>
    <col min="1" max="1" width="5.81640625" customWidth="1"/>
    <col min="2" max="2" width="19.6328125" customWidth="1"/>
    <col min="3" max="3" width="9.453125" customWidth="1"/>
    <col min="4" max="4" width="11.1796875" customWidth="1"/>
    <col min="5" max="5" width="9.36328125" customWidth="1"/>
    <col min="6" max="6" width="12.36328125" customWidth="1"/>
    <col min="7" max="7" width="8.6328125" customWidth="1"/>
    <col min="8" max="8" width="7.1796875" customWidth="1"/>
    <col min="9" max="9" width="6.453125" customWidth="1"/>
    <col min="10" max="12" width="8.81640625" customWidth="1"/>
    <col min="13" max="13" width="23" customWidth="1"/>
  </cols>
  <sheetData>
    <row r="1" spans="1:13" ht="15.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>
      <c r="A2" s="2">
        <v>1</v>
      </c>
      <c r="B2" s="2" t="str">
        <f t="shared" ref="B2:B8" si="0">C2&amp;"_"&amp;D2&amp;"_"&amp;E2</f>
        <v>ALL_AGB_THF</v>
      </c>
      <c r="C2" s="2" t="s">
        <v>28</v>
      </c>
      <c r="D2" s="2" t="s">
        <v>67</v>
      </c>
      <c r="E2" s="2" t="s">
        <v>83</v>
      </c>
      <c r="F2" s="2"/>
      <c r="G2" s="19">
        <v>348</v>
      </c>
      <c r="H2" s="19">
        <v>4.2439024390243905</v>
      </c>
      <c r="I2" s="2" t="s">
        <v>26</v>
      </c>
      <c r="J2" s="2"/>
      <c r="K2" s="2"/>
      <c r="L2" s="2"/>
      <c r="M2" s="2" t="str">
        <f>VLOOKUP(E2,'LU CLASS'!$B$2:$C$8,2,FALSE)</f>
        <v>Tropical High Forest</v>
      </c>
    </row>
    <row r="3" spans="1:13">
      <c r="A3" s="2">
        <v>2</v>
      </c>
      <c r="B3" s="2" t="str">
        <f t="shared" si="0"/>
        <v>ALL_AGB_THF_deg</v>
      </c>
      <c r="C3" s="2" t="s">
        <v>28</v>
      </c>
      <c r="D3" s="2" t="s">
        <v>67</v>
      </c>
      <c r="E3" s="2" t="s">
        <v>107</v>
      </c>
      <c r="F3" s="2"/>
      <c r="G3" s="19">
        <v>232.3</v>
      </c>
      <c r="H3" s="19">
        <v>2.8329268292682928</v>
      </c>
      <c r="I3" s="2" t="s">
        <v>26</v>
      </c>
      <c r="J3" s="2"/>
      <c r="K3" s="2"/>
      <c r="L3" s="2"/>
      <c r="M3" s="2" t="str">
        <f>VLOOKUP(E3,'LU CLASS'!$B$2:$C$8,2,FALSE)</f>
        <v>Tropical High Forest Degraded</v>
      </c>
    </row>
    <row r="4" spans="1:13">
      <c r="A4" s="3">
        <v>3</v>
      </c>
      <c r="B4" s="3" t="str">
        <f t="shared" si="0"/>
        <v>ALL_AGB_WD</v>
      </c>
      <c r="C4" s="3" t="s">
        <v>28</v>
      </c>
      <c r="D4" s="3" t="s">
        <v>67</v>
      </c>
      <c r="E4" s="3" t="s">
        <v>84</v>
      </c>
      <c r="F4" s="3"/>
      <c r="G4" s="20">
        <v>16.5</v>
      </c>
      <c r="H4" s="20">
        <v>7.5457317073170733</v>
      </c>
      <c r="I4" s="3" t="s">
        <v>26</v>
      </c>
      <c r="J4" s="3"/>
      <c r="K4" s="3"/>
      <c r="L4" s="3"/>
      <c r="M4" s="2" t="str">
        <f>VLOOKUP(E4,'LU CLASS'!$B$2:$C$8,2,FALSE)</f>
        <v>Woodlands</v>
      </c>
    </row>
    <row r="5" spans="1:13">
      <c r="A5" s="3">
        <v>4</v>
      </c>
      <c r="B5" s="3" t="str">
        <f t="shared" si="0"/>
        <v>ALL_AGB_WD_deg</v>
      </c>
      <c r="C5" s="3" t="s">
        <v>28</v>
      </c>
      <c r="D5" s="3" t="s">
        <v>67</v>
      </c>
      <c r="E5" s="3" t="s">
        <v>108</v>
      </c>
      <c r="F5" s="3"/>
      <c r="G5" s="20">
        <v>14.8</v>
      </c>
      <c r="H5" s="20">
        <v>6.7682926829268295</v>
      </c>
      <c r="I5" s="3" t="s">
        <v>26</v>
      </c>
      <c r="J5" s="3"/>
      <c r="K5" s="3"/>
      <c r="L5" s="3"/>
      <c r="M5" s="2" t="str">
        <f>VLOOKUP(E5,'LU CLASS'!$B$2:$C$8,2,FALSE)</f>
        <v>Woodlands_Degraded</v>
      </c>
    </row>
    <row r="6" spans="1:13">
      <c r="A6" s="2">
        <v>5</v>
      </c>
      <c r="B6" s="2" t="str">
        <f t="shared" si="0"/>
        <v>ALL_AGB_FPc</v>
      </c>
      <c r="C6" s="2" t="s">
        <v>28</v>
      </c>
      <c r="D6" s="2" t="s">
        <v>67</v>
      </c>
      <c r="E6" s="2" t="s">
        <v>79</v>
      </c>
      <c r="F6" s="2"/>
      <c r="G6" s="19">
        <v>81.7</v>
      </c>
      <c r="H6" s="19">
        <v>73.729268292682931</v>
      </c>
      <c r="I6" s="2" t="s">
        <v>26</v>
      </c>
      <c r="J6" s="2"/>
      <c r="K6" s="2"/>
      <c r="L6" s="2"/>
      <c r="M6" s="2" t="str">
        <f>VLOOKUP(E6,'LU CLASS'!$B$2:$C$8,2,FALSE)</f>
        <v>Plantations commercial</v>
      </c>
    </row>
    <row r="7" spans="1:13">
      <c r="A7" s="2">
        <v>6</v>
      </c>
      <c r="B7" s="2" t="str">
        <f t="shared" si="0"/>
        <v>ALL_AGB_FPnc</v>
      </c>
      <c r="C7" s="2" t="s">
        <v>28</v>
      </c>
      <c r="D7" s="2" t="s">
        <v>67</v>
      </c>
      <c r="E7" s="2" t="s">
        <v>81</v>
      </c>
      <c r="F7" s="2"/>
      <c r="G7" s="19">
        <v>81.7</v>
      </c>
      <c r="H7" s="19">
        <v>73.729268292682931</v>
      </c>
      <c r="I7" s="2" t="s">
        <v>26</v>
      </c>
      <c r="J7" s="2"/>
      <c r="K7" s="2"/>
      <c r="L7" s="2"/>
      <c r="M7" s="2" t="str">
        <f>VLOOKUP(E7,'LU CLASS'!$B$2:$C$8,2,FALSE)</f>
        <v>Plantations non commercial</v>
      </c>
    </row>
    <row r="8" spans="1:13">
      <c r="A8" s="4">
        <v>7</v>
      </c>
      <c r="B8" s="4" t="str">
        <f t="shared" si="0"/>
        <v>ALL_ALL_NF</v>
      </c>
      <c r="C8" s="4" t="s">
        <v>28</v>
      </c>
      <c r="D8" s="4" t="s">
        <v>28</v>
      </c>
      <c r="E8" s="4" t="s">
        <v>80</v>
      </c>
      <c r="F8" s="4"/>
      <c r="G8" s="21">
        <v>21</v>
      </c>
      <c r="H8" s="21">
        <v>9.6036585365853657</v>
      </c>
      <c r="I8" s="4" t="s">
        <v>26</v>
      </c>
      <c r="J8" s="4"/>
      <c r="K8" s="4"/>
      <c r="L8" s="5"/>
      <c r="M8" s="2" t="str">
        <f>VLOOKUP(E8,'LU CLASS'!$B$2:$C$8,2,FALSE)</f>
        <v>Non Forest</v>
      </c>
    </row>
    <row r="9" spans="1:13">
      <c r="A9" s="4">
        <v>8</v>
      </c>
      <c r="B9" s="4" t="str">
        <f t="shared" ref="B9:B14" si="1">C9&amp;"_"&amp;D9&amp;"_"&amp;E9</f>
        <v>ALL_RS_THF</v>
      </c>
      <c r="C9" s="4" t="s">
        <v>28</v>
      </c>
      <c r="D9" t="s">
        <v>68</v>
      </c>
      <c r="E9" t="s">
        <v>83</v>
      </c>
      <c r="G9" s="16">
        <v>0.24</v>
      </c>
      <c r="H9" s="16">
        <v>5.5000000000000007E-2</v>
      </c>
      <c r="I9" t="s">
        <v>26</v>
      </c>
      <c r="M9" s="2" t="str">
        <f>VLOOKUP(E9,'LU CLASS'!$B$2:$C$8,2,FALSE)</f>
        <v>Tropical High Forest</v>
      </c>
    </row>
    <row r="10" spans="1:13">
      <c r="A10" s="4">
        <v>9</v>
      </c>
      <c r="B10" s="4" t="str">
        <f t="shared" si="1"/>
        <v>ALL_RS_THF_deg</v>
      </c>
      <c r="C10" s="4" t="s">
        <v>28</v>
      </c>
      <c r="D10" t="s">
        <v>68</v>
      </c>
      <c r="E10" t="s">
        <v>107</v>
      </c>
      <c r="G10" s="16">
        <v>0.24</v>
      </c>
      <c r="H10" s="16">
        <v>5.5000000000000007E-2</v>
      </c>
      <c r="I10" t="s">
        <v>26</v>
      </c>
      <c r="M10" s="2" t="str">
        <f>VLOOKUP(E10,'LU CLASS'!$B$2:$C$8,2,FALSE)</f>
        <v>Tropical High Forest Degraded</v>
      </c>
    </row>
    <row r="11" spans="1:13">
      <c r="A11" s="4">
        <v>10</v>
      </c>
      <c r="B11" s="4" t="str">
        <f t="shared" si="1"/>
        <v>ALL_RS_WD</v>
      </c>
      <c r="C11" s="4" t="s">
        <v>28</v>
      </c>
      <c r="D11" t="s">
        <v>68</v>
      </c>
      <c r="E11" t="s">
        <v>84</v>
      </c>
      <c r="G11" s="16">
        <v>0.24</v>
      </c>
      <c r="H11" s="16">
        <v>5.5000000000000007E-2</v>
      </c>
      <c r="I11" t="s">
        <v>26</v>
      </c>
      <c r="M11" s="2" t="str">
        <f>VLOOKUP(E11,'LU CLASS'!$B$2:$C$8,2,FALSE)</f>
        <v>Woodlands</v>
      </c>
    </row>
    <row r="12" spans="1:13">
      <c r="A12" s="4">
        <v>11</v>
      </c>
      <c r="B12" s="4" t="str">
        <f t="shared" si="1"/>
        <v>ALL_RS_WD_deg</v>
      </c>
      <c r="C12" s="4" t="s">
        <v>28</v>
      </c>
      <c r="D12" t="s">
        <v>68</v>
      </c>
      <c r="E12" t="s">
        <v>108</v>
      </c>
      <c r="G12" s="16">
        <v>0.24</v>
      </c>
      <c r="H12" s="16">
        <v>5.5000000000000007E-2</v>
      </c>
      <c r="I12" t="s">
        <v>26</v>
      </c>
      <c r="M12" s="2" t="str">
        <f>VLOOKUP(E12,'LU CLASS'!$B$2:$C$8,2,FALSE)</f>
        <v>Woodlands_Degraded</v>
      </c>
    </row>
    <row r="13" spans="1:13">
      <c r="A13" s="4">
        <v>12</v>
      </c>
      <c r="B13" s="4" t="str">
        <f t="shared" si="1"/>
        <v>ALL_RS_FPc</v>
      </c>
      <c r="C13" s="4" t="s">
        <v>28</v>
      </c>
      <c r="D13" t="s">
        <v>68</v>
      </c>
      <c r="E13" t="s">
        <v>79</v>
      </c>
      <c r="G13" s="16">
        <v>0.24</v>
      </c>
      <c r="H13" s="16">
        <v>5.5000000000000007E-2</v>
      </c>
      <c r="I13" t="s">
        <v>26</v>
      </c>
      <c r="M13" s="2" t="str">
        <f>VLOOKUP(E13,'LU CLASS'!$B$2:$C$8,2,FALSE)</f>
        <v>Plantations commercial</v>
      </c>
    </row>
    <row r="14" spans="1:13">
      <c r="A14" s="4">
        <v>13</v>
      </c>
      <c r="B14" s="4" t="str">
        <f t="shared" si="1"/>
        <v>ALL_RS_FPnc</v>
      </c>
      <c r="C14" s="4" t="s">
        <v>28</v>
      </c>
      <c r="D14" t="s">
        <v>68</v>
      </c>
      <c r="E14" t="s">
        <v>81</v>
      </c>
      <c r="G14" s="16">
        <v>0.24</v>
      </c>
      <c r="H14" s="16">
        <v>5.5000000000000007E-2</v>
      </c>
      <c r="I14" t="s">
        <v>26</v>
      </c>
      <c r="M14" s="2" t="str">
        <f>VLOOKUP(E14,'LU CLASS'!$B$2:$C$8,2,FALSE)</f>
        <v>Plantations non commercial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A0B9-FBEE-4C72-9F30-B6D987325499}">
  <dimension ref="A1:M14"/>
  <sheetViews>
    <sheetView workbookViewId="0">
      <selection activeCell="D2" sqref="D2:I14"/>
    </sheetView>
  </sheetViews>
  <sheetFormatPr defaultRowHeight="12.5"/>
  <cols>
    <col min="13" max="13" width="23.453125" bestFit="1" customWidth="1"/>
  </cols>
  <sheetData>
    <row r="1" spans="1:1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</row>
    <row r="2" spans="1:13">
      <c r="A2">
        <v>1</v>
      </c>
      <c r="B2" t="s">
        <v>93</v>
      </c>
      <c r="C2" t="s">
        <v>28</v>
      </c>
      <c r="D2" t="s">
        <v>67</v>
      </c>
      <c r="E2" t="s">
        <v>83</v>
      </c>
      <c r="G2">
        <v>348</v>
      </c>
      <c r="H2">
        <f>2*G2/1.64/100</f>
        <v>4.2439024390243905</v>
      </c>
      <c r="I2" t="s">
        <v>26</v>
      </c>
    </row>
    <row r="3" spans="1:13">
      <c r="A3">
        <v>2</v>
      </c>
      <c r="B3" t="s">
        <v>94</v>
      </c>
      <c r="C3" t="s">
        <v>28</v>
      </c>
      <c r="D3" t="s">
        <v>67</v>
      </c>
      <c r="E3" t="s">
        <v>107</v>
      </c>
      <c r="G3">
        <v>232.3</v>
      </c>
      <c r="H3">
        <f>2*G3/1.64/100</f>
        <v>2.8329268292682928</v>
      </c>
      <c r="I3" t="s">
        <v>26</v>
      </c>
    </row>
    <row r="4" spans="1:13">
      <c r="A4">
        <v>3</v>
      </c>
      <c r="B4" t="s">
        <v>95</v>
      </c>
      <c r="C4" t="s">
        <v>28</v>
      </c>
      <c r="D4" t="s">
        <v>67</v>
      </c>
      <c r="E4" t="s">
        <v>84</v>
      </c>
      <c r="G4">
        <v>16.5</v>
      </c>
      <c r="H4">
        <f>75*G4/1.64/100</f>
        <v>7.5457317073170733</v>
      </c>
      <c r="I4" t="s">
        <v>26</v>
      </c>
    </row>
    <row r="5" spans="1:13">
      <c r="A5">
        <v>4</v>
      </c>
      <c r="B5" t="s">
        <v>96</v>
      </c>
      <c r="C5" t="s">
        <v>28</v>
      </c>
      <c r="D5" t="s">
        <v>67</v>
      </c>
      <c r="E5" t="s">
        <v>108</v>
      </c>
      <c r="G5">
        <v>14.8</v>
      </c>
      <c r="H5">
        <f>75*G5/1.64/100</f>
        <v>6.7682926829268295</v>
      </c>
      <c r="I5" t="s">
        <v>26</v>
      </c>
    </row>
    <row r="6" spans="1:13">
      <c r="A6">
        <v>5</v>
      </c>
      <c r="B6" t="s">
        <v>97</v>
      </c>
      <c r="C6" t="s">
        <v>28</v>
      </c>
      <c r="D6" t="s">
        <v>67</v>
      </c>
      <c r="E6" t="s">
        <v>79</v>
      </c>
      <c r="G6">
        <v>81.7</v>
      </c>
      <c r="H6">
        <f>148*G6/1.64/100</f>
        <v>73.729268292682931</v>
      </c>
      <c r="I6" t="s">
        <v>26</v>
      </c>
    </row>
    <row r="7" spans="1:13">
      <c r="A7">
        <v>6</v>
      </c>
      <c r="B7" t="s">
        <v>98</v>
      </c>
      <c r="C7" t="s">
        <v>28</v>
      </c>
      <c r="D7" t="s">
        <v>67</v>
      </c>
      <c r="E7" t="s">
        <v>81</v>
      </c>
      <c r="G7">
        <v>81.7</v>
      </c>
      <c r="H7">
        <f>148*G7/1.64/100</f>
        <v>73.729268292682931</v>
      </c>
      <c r="I7" t="s">
        <v>26</v>
      </c>
    </row>
    <row r="8" spans="1:13">
      <c r="A8">
        <v>7</v>
      </c>
      <c r="B8" t="s">
        <v>99</v>
      </c>
      <c r="C8" t="s">
        <v>28</v>
      </c>
      <c r="D8" t="s">
        <v>28</v>
      </c>
      <c r="E8" t="s">
        <v>80</v>
      </c>
      <c r="G8">
        <v>21</v>
      </c>
      <c r="H8">
        <f>75*G8/1.64/100</f>
        <v>9.6036585365853657</v>
      </c>
      <c r="I8" t="s">
        <v>26</v>
      </c>
    </row>
    <row r="9" spans="1:13">
      <c r="D9" t="s">
        <v>68</v>
      </c>
      <c r="E9" t="s">
        <v>83</v>
      </c>
      <c r="G9">
        <v>0.24</v>
      </c>
      <c r="H9">
        <f xml:space="preserve"> (-0.22 + 0.33)/2</f>
        <v>5.5000000000000007E-2</v>
      </c>
      <c r="I9" t="s">
        <v>26</v>
      </c>
    </row>
    <row r="10" spans="1:13">
      <c r="D10" t="s">
        <v>68</v>
      </c>
      <c r="E10" t="s">
        <v>107</v>
      </c>
      <c r="G10">
        <v>0.24</v>
      </c>
      <c r="H10">
        <f t="shared" ref="H10:H14" si="0" xml:space="preserve"> (-0.22 + 0.33)/2</f>
        <v>5.5000000000000007E-2</v>
      </c>
      <c r="I10" t="s">
        <v>26</v>
      </c>
    </row>
    <row r="11" spans="1:13">
      <c r="D11" t="s">
        <v>68</v>
      </c>
      <c r="E11" t="s">
        <v>84</v>
      </c>
      <c r="G11">
        <v>0.24</v>
      </c>
      <c r="H11">
        <f t="shared" si="0"/>
        <v>5.5000000000000007E-2</v>
      </c>
      <c r="I11" t="s">
        <v>26</v>
      </c>
    </row>
    <row r="12" spans="1:13">
      <c r="D12" t="s">
        <v>68</v>
      </c>
      <c r="E12" t="s">
        <v>108</v>
      </c>
      <c r="G12">
        <v>0.24</v>
      </c>
      <c r="H12">
        <f t="shared" si="0"/>
        <v>5.5000000000000007E-2</v>
      </c>
      <c r="I12" t="s">
        <v>26</v>
      </c>
    </row>
    <row r="13" spans="1:13">
      <c r="D13" t="s">
        <v>68</v>
      </c>
      <c r="E13" t="s">
        <v>79</v>
      </c>
      <c r="G13">
        <v>0.24</v>
      </c>
      <c r="H13">
        <f t="shared" si="0"/>
        <v>5.5000000000000007E-2</v>
      </c>
      <c r="I13" t="s">
        <v>26</v>
      </c>
    </row>
    <row r="14" spans="1:13">
      <c r="D14" t="s">
        <v>68</v>
      </c>
      <c r="E14" t="s">
        <v>81</v>
      </c>
      <c r="G14">
        <v>0.24</v>
      </c>
      <c r="H14">
        <f t="shared" si="0"/>
        <v>5.5000000000000007E-2</v>
      </c>
      <c r="I14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5C7D-8D81-4CF5-8120-A84BC622BB77}">
  <dimension ref="A1:G59"/>
  <sheetViews>
    <sheetView workbookViewId="0">
      <selection activeCell="A2" sqref="A2"/>
    </sheetView>
  </sheetViews>
  <sheetFormatPr defaultRowHeight="12.5"/>
  <cols>
    <col min="1" max="1" width="44" bestFit="1" customWidth="1"/>
    <col min="2" max="2" width="29.453125" customWidth="1"/>
    <col min="3" max="3" width="15.26953125" customWidth="1"/>
    <col min="4" max="4" width="12.90625" customWidth="1"/>
    <col min="5" max="5" width="10.1796875" style="18" bestFit="1" customWidth="1"/>
  </cols>
  <sheetData>
    <row r="1" spans="1:7">
      <c r="A1" t="s">
        <v>69</v>
      </c>
      <c r="B1" t="s">
        <v>82</v>
      </c>
      <c r="C1" t="s">
        <v>49</v>
      </c>
      <c r="D1" t="s">
        <v>50</v>
      </c>
      <c r="E1" s="18" t="s">
        <v>71</v>
      </c>
      <c r="F1" t="s">
        <v>70</v>
      </c>
      <c r="G1" t="s">
        <v>72</v>
      </c>
    </row>
    <row r="2" spans="1:7">
      <c r="A2" t="s">
        <v>73</v>
      </c>
      <c r="B2" t="s">
        <v>33</v>
      </c>
      <c r="C2" t="s">
        <v>79</v>
      </c>
      <c r="D2" t="s">
        <v>80</v>
      </c>
      <c r="E2" s="18">
        <v>0</v>
      </c>
      <c r="F2" s="17">
        <v>0</v>
      </c>
      <c r="G2">
        <v>2017</v>
      </c>
    </row>
    <row r="3" spans="1:7">
      <c r="A3" t="s">
        <v>74</v>
      </c>
      <c r="B3" t="s">
        <v>33</v>
      </c>
      <c r="C3" t="s">
        <v>81</v>
      </c>
      <c r="D3" t="s">
        <v>80</v>
      </c>
      <c r="E3" s="18">
        <v>0</v>
      </c>
      <c r="F3">
        <v>0</v>
      </c>
      <c r="G3">
        <v>2017</v>
      </c>
    </row>
    <row r="4" spans="1:7">
      <c r="A4" t="s">
        <v>75</v>
      </c>
      <c r="B4" t="s">
        <v>33</v>
      </c>
      <c r="C4" t="s">
        <v>83</v>
      </c>
      <c r="D4" t="s">
        <v>80</v>
      </c>
      <c r="E4" s="18">
        <v>5545.20558472219</v>
      </c>
      <c r="F4">
        <v>1.2053400433601593E-4</v>
      </c>
      <c r="G4">
        <v>2017</v>
      </c>
    </row>
    <row r="5" spans="1:7">
      <c r="A5" t="s">
        <v>76</v>
      </c>
      <c r="B5" t="s">
        <v>33</v>
      </c>
      <c r="C5" t="s">
        <v>84</v>
      </c>
      <c r="D5" t="s">
        <v>80</v>
      </c>
      <c r="E5" s="18">
        <v>31228.543603964299</v>
      </c>
      <c r="F5">
        <v>3.8460972096055396E-4</v>
      </c>
      <c r="G5">
        <v>2017</v>
      </c>
    </row>
    <row r="6" spans="1:7">
      <c r="A6" t="s">
        <v>77</v>
      </c>
      <c r="B6" t="s">
        <v>33</v>
      </c>
      <c r="C6" t="s">
        <v>83</v>
      </c>
      <c r="D6" t="s">
        <v>85</v>
      </c>
      <c r="E6" s="18">
        <v>1109.0411169444301</v>
      </c>
      <c r="F6">
        <v>5.3981232457387293E-5</v>
      </c>
      <c r="G6">
        <v>2017</v>
      </c>
    </row>
    <row r="7" spans="1:7">
      <c r="A7" t="s">
        <v>78</v>
      </c>
      <c r="B7" t="s">
        <v>33</v>
      </c>
      <c r="C7" t="s">
        <v>84</v>
      </c>
      <c r="D7" t="s">
        <v>86</v>
      </c>
      <c r="E7" s="18">
        <v>6992.72004956009</v>
      </c>
      <c r="F7">
        <v>1.9856574155759294E-4</v>
      </c>
      <c r="G7">
        <v>2017</v>
      </c>
    </row>
    <row r="8" spans="1:7">
      <c r="C8" t="s">
        <v>79</v>
      </c>
      <c r="D8" t="s">
        <v>80</v>
      </c>
      <c r="E8" s="18">
        <v>1109.0411169444301</v>
      </c>
      <c r="F8">
        <v>5.3981232457387293E-5</v>
      </c>
    </row>
    <row r="9" spans="1:7">
      <c r="A9" t="s">
        <v>73</v>
      </c>
      <c r="B9" t="s">
        <v>35</v>
      </c>
      <c r="C9" t="s">
        <v>81</v>
      </c>
      <c r="D9" t="s">
        <v>80</v>
      </c>
      <c r="E9" s="18">
        <v>1109.0411169444301</v>
      </c>
      <c r="F9">
        <v>5.3981232457387293E-5</v>
      </c>
      <c r="G9">
        <v>2018</v>
      </c>
    </row>
    <row r="10" spans="1:7">
      <c r="A10" t="s">
        <v>74</v>
      </c>
      <c r="B10" t="s">
        <v>35</v>
      </c>
      <c r="C10" t="s">
        <v>83</v>
      </c>
      <c r="D10" t="s">
        <v>80</v>
      </c>
      <c r="E10" s="18">
        <v>6284.11300182794</v>
      </c>
      <c r="F10">
        <v>1.4043305177558588E-4</v>
      </c>
      <c r="G10">
        <v>2018</v>
      </c>
    </row>
    <row r="11" spans="1:7">
      <c r="A11" t="s">
        <v>75</v>
      </c>
      <c r="B11" t="s">
        <v>35</v>
      </c>
      <c r="C11" t="s">
        <v>84</v>
      </c>
      <c r="D11" t="s">
        <v>80</v>
      </c>
      <c r="E11" s="18">
        <v>61205.496350870897</v>
      </c>
      <c r="F11">
        <v>5.1335036695384078E-4</v>
      </c>
      <c r="G11">
        <v>2018</v>
      </c>
    </row>
    <row r="12" spans="1:7">
      <c r="A12" t="s">
        <v>76</v>
      </c>
      <c r="B12" t="s">
        <v>35</v>
      </c>
      <c r="C12" t="s">
        <v>83</v>
      </c>
      <c r="D12" t="s">
        <v>85</v>
      </c>
      <c r="E12" s="18">
        <v>3327.1233508333098</v>
      </c>
      <c r="F12">
        <v>9.3431761445507186E-5</v>
      </c>
      <c r="G12">
        <v>2018</v>
      </c>
    </row>
    <row r="13" spans="1:7">
      <c r="A13" t="s">
        <v>77</v>
      </c>
      <c r="B13" t="s">
        <v>35</v>
      </c>
      <c r="C13" t="s">
        <v>84</v>
      </c>
      <c r="D13" t="s">
        <v>86</v>
      </c>
      <c r="E13" s="18">
        <v>11097.1628078088</v>
      </c>
      <c r="F13">
        <v>2.3169461323105627E-4</v>
      </c>
      <c r="G13">
        <v>2018</v>
      </c>
    </row>
    <row r="14" spans="1:7">
      <c r="A14" t="s">
        <v>78</v>
      </c>
      <c r="B14" t="s">
        <v>35</v>
      </c>
      <c r="C14" t="s">
        <v>79</v>
      </c>
      <c r="D14" t="s">
        <v>80</v>
      </c>
      <c r="E14" s="18">
        <v>2572.3857577549502</v>
      </c>
      <c r="F14">
        <v>1.2520775960229701E-4</v>
      </c>
      <c r="G14">
        <v>2018</v>
      </c>
    </row>
    <row r="15" spans="1:7">
      <c r="C15" t="s">
        <v>81</v>
      </c>
      <c r="D15" t="s">
        <v>80</v>
      </c>
      <c r="E15" s="18">
        <v>4804.9381850448099</v>
      </c>
      <c r="F15">
        <v>1.38142637339216E-4</v>
      </c>
    </row>
    <row r="16" spans="1:7">
      <c r="C16" t="s">
        <v>83</v>
      </c>
      <c r="D16" t="s">
        <v>80</v>
      </c>
      <c r="E16" s="18">
        <v>1109.0411169444301</v>
      </c>
      <c r="F16">
        <v>5.3981232457387293E-5</v>
      </c>
    </row>
    <row r="17" spans="1:7">
      <c r="A17" t="s">
        <v>73</v>
      </c>
      <c r="B17" t="s">
        <v>87</v>
      </c>
      <c r="C17" t="s">
        <v>84</v>
      </c>
      <c r="D17" t="s">
        <v>80</v>
      </c>
      <c r="E17" s="18">
        <v>25444.6249858316</v>
      </c>
      <c r="F17">
        <v>3.3943477215762788E-4</v>
      </c>
      <c r="G17">
        <v>2019</v>
      </c>
    </row>
    <row r="18" spans="1:7">
      <c r="A18" t="s">
        <v>74</v>
      </c>
      <c r="B18" t="s">
        <v>87</v>
      </c>
      <c r="C18" t="s">
        <v>83</v>
      </c>
      <c r="D18" t="s">
        <v>85</v>
      </c>
      <c r="E18" s="18">
        <v>0</v>
      </c>
      <c r="F18">
        <v>0</v>
      </c>
      <c r="G18">
        <v>2019</v>
      </c>
    </row>
    <row r="19" spans="1:7">
      <c r="A19" t="s">
        <v>75</v>
      </c>
      <c r="B19" t="s">
        <v>87</v>
      </c>
      <c r="C19" t="s">
        <v>84</v>
      </c>
      <c r="D19" t="s">
        <v>86</v>
      </c>
      <c r="E19" s="18">
        <v>8116.2313599055196</v>
      </c>
      <c r="F19">
        <v>1.9978494659761209E-4</v>
      </c>
      <c r="G19">
        <v>2019</v>
      </c>
    </row>
    <row r="20" spans="1:7">
      <c r="A20" t="s">
        <v>76</v>
      </c>
      <c r="B20" t="s">
        <v>87</v>
      </c>
      <c r="C20" t="s">
        <v>79</v>
      </c>
      <c r="D20" t="s">
        <v>80</v>
      </c>
      <c r="E20" s="18">
        <v>1109.0411169444301</v>
      </c>
      <c r="F20">
        <v>5.3981232457387293E-5</v>
      </c>
      <c r="G20">
        <v>2019</v>
      </c>
    </row>
    <row r="21" spans="1:7">
      <c r="A21" t="s">
        <v>77</v>
      </c>
      <c r="B21" t="s">
        <v>87</v>
      </c>
      <c r="C21" t="s">
        <v>81</v>
      </c>
      <c r="D21" t="s">
        <v>80</v>
      </c>
      <c r="E21" s="18">
        <v>4066.0307679390598</v>
      </c>
      <c r="F21">
        <v>1.1795849125508571E-4</v>
      </c>
      <c r="G21">
        <v>2019</v>
      </c>
    </row>
    <row r="22" spans="1:7">
      <c r="A22" t="s">
        <v>78</v>
      </c>
      <c r="B22" t="s">
        <v>87</v>
      </c>
      <c r="C22" t="s">
        <v>83</v>
      </c>
      <c r="D22" t="s">
        <v>80</v>
      </c>
      <c r="E22" s="18">
        <v>2218.0822338888702</v>
      </c>
      <c r="F22">
        <v>7.6313857238086952E-5</v>
      </c>
      <c r="G22">
        <v>2019</v>
      </c>
    </row>
    <row r="23" spans="1:7">
      <c r="C23" t="s">
        <v>84</v>
      </c>
      <c r="D23" t="s">
        <v>80</v>
      </c>
      <c r="E23" s="18">
        <v>46165.158683032001</v>
      </c>
      <c r="F23">
        <v>4.9574745128585455E-4</v>
      </c>
    </row>
    <row r="24" spans="1:7">
      <c r="A24" t="s">
        <v>73</v>
      </c>
      <c r="B24" t="s">
        <v>88</v>
      </c>
      <c r="C24" t="s">
        <v>83</v>
      </c>
      <c r="D24" t="s">
        <v>85</v>
      </c>
      <c r="E24" s="18">
        <v>1847.9485340501799</v>
      </c>
      <c r="F24">
        <v>8.9946655594419107E-5</v>
      </c>
      <c r="G24">
        <v>2020</v>
      </c>
    </row>
    <row r="25" spans="1:7">
      <c r="A25" t="s">
        <v>74</v>
      </c>
      <c r="B25" t="s">
        <v>88</v>
      </c>
      <c r="C25" t="s">
        <v>84</v>
      </c>
      <c r="D25" t="s">
        <v>86</v>
      </c>
      <c r="E25" s="18">
        <v>5990.8032826085901</v>
      </c>
      <c r="F25">
        <v>1.5058273999873047E-4</v>
      </c>
      <c r="G25">
        <v>2020</v>
      </c>
    </row>
    <row r="26" spans="1:7">
      <c r="A26" t="s">
        <v>75</v>
      </c>
      <c r="B26" t="s">
        <v>88</v>
      </c>
      <c r="C26" t="s">
        <v>79</v>
      </c>
      <c r="D26" t="s">
        <v>80</v>
      </c>
      <c r="E26" s="18">
        <v>2218.0822338888702</v>
      </c>
      <c r="F26">
        <v>7.6313857238086952E-5</v>
      </c>
      <c r="G26">
        <v>2020</v>
      </c>
    </row>
    <row r="27" spans="1:7">
      <c r="A27" t="s">
        <v>76</v>
      </c>
      <c r="B27" t="s">
        <v>88</v>
      </c>
      <c r="C27" t="s">
        <v>81</v>
      </c>
      <c r="D27" t="s">
        <v>80</v>
      </c>
      <c r="E27" s="18">
        <v>3327.1233508333098</v>
      </c>
      <c r="G27">
        <v>2020</v>
      </c>
    </row>
    <row r="28" spans="1:7">
      <c r="A28" t="s">
        <v>77</v>
      </c>
      <c r="B28" t="s">
        <v>88</v>
      </c>
      <c r="C28" t="s">
        <v>83</v>
      </c>
      <c r="D28" t="s">
        <v>80</v>
      </c>
      <c r="E28" s="18">
        <v>5913.9793019892504</v>
      </c>
      <c r="G28">
        <v>2020</v>
      </c>
    </row>
    <row r="29" spans="1:7">
      <c r="A29" t="s">
        <v>78</v>
      </c>
      <c r="B29" t="s">
        <v>88</v>
      </c>
      <c r="C29" t="s">
        <v>84</v>
      </c>
      <c r="D29" t="s">
        <v>80</v>
      </c>
      <c r="E29" s="18">
        <v>44026.236086433099</v>
      </c>
      <c r="G29">
        <v>2020</v>
      </c>
    </row>
    <row r="30" spans="1:7">
      <c r="C30" t="s">
        <v>83</v>
      </c>
      <c r="D30" t="s">
        <v>85</v>
      </c>
      <c r="E30" s="18">
        <v>0</v>
      </c>
    </row>
    <row r="31" spans="1:7">
      <c r="A31" t="s">
        <v>73</v>
      </c>
      <c r="B31" t="s">
        <v>89</v>
      </c>
      <c r="C31" t="s">
        <v>84</v>
      </c>
      <c r="D31" t="s">
        <v>86</v>
      </c>
      <c r="E31" s="18">
        <v>12259.0861084639</v>
      </c>
      <c r="G31">
        <v>2021</v>
      </c>
    </row>
    <row r="32" spans="1:7">
      <c r="A32" t="s">
        <v>74</v>
      </c>
      <c r="B32" t="s">
        <v>89</v>
      </c>
      <c r="C32" t="s">
        <v>79</v>
      </c>
      <c r="D32" t="s">
        <v>80</v>
      </c>
      <c r="E32" s="18">
        <v>1109.0411169444301</v>
      </c>
      <c r="F32">
        <v>5.3981232457387293E-5</v>
      </c>
      <c r="G32">
        <v>2021</v>
      </c>
    </row>
    <row r="33" spans="1:7">
      <c r="A33" t="s">
        <v>75</v>
      </c>
      <c r="B33" t="s">
        <v>89</v>
      </c>
      <c r="C33" t="s">
        <v>81</v>
      </c>
      <c r="D33" t="s">
        <v>80</v>
      </c>
      <c r="E33" s="18">
        <v>4436.1644677777504</v>
      </c>
      <c r="F33">
        <v>1.078473049194242E-4</v>
      </c>
      <c r="G33">
        <v>2021</v>
      </c>
    </row>
    <row r="34" spans="1:7">
      <c r="A34" t="s">
        <v>76</v>
      </c>
      <c r="B34" t="s">
        <v>89</v>
      </c>
      <c r="C34" t="s">
        <v>83</v>
      </c>
      <c r="D34" t="s">
        <v>80</v>
      </c>
      <c r="E34" s="18">
        <v>4436.1644677777504</v>
      </c>
      <c r="F34">
        <v>1.078473049194242E-4</v>
      </c>
      <c r="G34">
        <v>2021</v>
      </c>
    </row>
    <row r="35" spans="1:7">
      <c r="A35" t="s">
        <v>77</v>
      </c>
      <c r="B35" t="s">
        <v>89</v>
      </c>
      <c r="C35" t="s">
        <v>84</v>
      </c>
      <c r="D35" t="s">
        <v>80</v>
      </c>
      <c r="E35" s="18">
        <v>27937.9497243531</v>
      </c>
      <c r="F35">
        <v>3.2563473570260674E-4</v>
      </c>
      <c r="G35">
        <v>2021</v>
      </c>
    </row>
    <row r="36" spans="1:7">
      <c r="A36" t="s">
        <v>78</v>
      </c>
      <c r="B36" t="s">
        <v>89</v>
      </c>
      <c r="C36" t="s">
        <v>83</v>
      </c>
      <c r="D36" t="s">
        <v>85</v>
      </c>
      <c r="E36" s="18">
        <v>0</v>
      </c>
      <c r="F36">
        <v>0</v>
      </c>
      <c r="G36">
        <v>2021</v>
      </c>
    </row>
    <row r="37" spans="1:7">
      <c r="C37" t="s">
        <v>84</v>
      </c>
      <c r="D37" t="s">
        <v>86</v>
      </c>
      <c r="E37" s="18">
        <v>9374.0513188118002</v>
      </c>
      <c r="F37">
        <v>2.3023413696328631E-4</v>
      </c>
    </row>
    <row r="38" spans="1:7">
      <c r="A38" t="s">
        <v>73</v>
      </c>
      <c r="B38" t="s">
        <v>90</v>
      </c>
      <c r="C38" t="s">
        <v>79</v>
      </c>
      <c r="D38" t="s">
        <v>80</v>
      </c>
      <c r="E38" s="18">
        <v>8279.4803952683396</v>
      </c>
      <c r="F38">
        <v>2.183681958592565E-4</v>
      </c>
      <c r="G38">
        <v>2022</v>
      </c>
    </row>
    <row r="39" spans="1:7">
      <c r="A39" t="s">
        <v>74</v>
      </c>
      <c r="B39" t="s">
        <v>90</v>
      </c>
      <c r="C39" t="s">
        <v>81</v>
      </c>
      <c r="D39" t="s">
        <v>80</v>
      </c>
      <c r="E39" s="18">
        <v>1886.3605243598499</v>
      </c>
      <c r="F39">
        <v>9.1816312675997686E-5</v>
      </c>
      <c r="G39">
        <v>2022</v>
      </c>
    </row>
    <row r="40" spans="1:7">
      <c r="A40" t="s">
        <v>75</v>
      </c>
      <c r="B40" t="s">
        <v>90</v>
      </c>
      <c r="C40" t="s">
        <v>83</v>
      </c>
      <c r="D40" t="s">
        <v>80</v>
      </c>
      <c r="E40" s="18">
        <v>4104.4427582487297</v>
      </c>
      <c r="F40">
        <v>1.1939028469675316E-4</v>
      </c>
      <c r="G40">
        <v>2022</v>
      </c>
    </row>
    <row r="41" spans="1:7">
      <c r="A41" t="s">
        <v>76</v>
      </c>
      <c r="B41" t="s">
        <v>90</v>
      </c>
      <c r="C41" t="s">
        <v>84</v>
      </c>
      <c r="D41" t="s">
        <v>80</v>
      </c>
      <c r="E41" s="18">
        <v>27016.453959206701</v>
      </c>
      <c r="F41">
        <v>3.2288227375437678E-4</v>
      </c>
      <c r="G41">
        <v>2022</v>
      </c>
    </row>
    <row r="42" spans="1:7">
      <c r="A42" t="s">
        <v>77</v>
      </c>
      <c r="B42" t="s">
        <v>90</v>
      </c>
      <c r="C42" t="s">
        <v>83</v>
      </c>
      <c r="D42" t="s">
        <v>85</v>
      </c>
      <c r="E42" s="18">
        <v>1109.0411169444301</v>
      </c>
      <c r="F42">
        <v>5.3981232457387293E-5</v>
      </c>
      <c r="G42">
        <v>2022</v>
      </c>
    </row>
    <row r="43" spans="1:7">
      <c r="A43" t="s">
        <v>78</v>
      </c>
      <c r="B43" t="s">
        <v>90</v>
      </c>
      <c r="C43" t="s">
        <v>84</v>
      </c>
      <c r="D43" t="s">
        <v>86</v>
      </c>
      <c r="E43" s="18">
        <v>4790.4679916438199</v>
      </c>
      <c r="F43">
        <v>1.4663146957997014E-4</v>
      </c>
      <c r="G43">
        <v>2022</v>
      </c>
    </row>
    <row r="44" spans="1:7">
      <c r="C44" t="s">
        <v>79</v>
      </c>
      <c r="D44" t="s">
        <v>80</v>
      </c>
      <c r="E44" s="18">
        <v>0</v>
      </c>
      <c r="F44">
        <v>0</v>
      </c>
    </row>
    <row r="45" spans="1:7">
      <c r="C45" t="s">
        <v>81</v>
      </c>
      <c r="D45" t="s">
        <v>80</v>
      </c>
      <c r="E45" s="18">
        <v>3405.9716386991013</v>
      </c>
      <c r="F45">
        <v>1.1504754688758652E-4</v>
      </c>
    </row>
    <row r="46" spans="1:7">
      <c r="A46" t="s">
        <v>73</v>
      </c>
      <c r="B46" t="s">
        <v>91</v>
      </c>
      <c r="C46" t="s">
        <v>83</v>
      </c>
      <c r="D46" t="s">
        <v>80</v>
      </c>
      <c r="E46" s="18">
        <v>599.57913353622826</v>
      </c>
      <c r="F46">
        <v>2.9183787769015261E-5</v>
      </c>
      <c r="G46">
        <v>2023</v>
      </c>
    </row>
    <row r="47" spans="1:7">
      <c r="A47" t="s">
        <v>74</v>
      </c>
      <c r="B47" t="s">
        <v>91</v>
      </c>
      <c r="C47" t="s">
        <v>84</v>
      </c>
      <c r="D47" t="s">
        <v>80</v>
      </c>
      <c r="E47" s="18">
        <v>22699.076814764885</v>
      </c>
      <c r="F47">
        <v>3.9039854748303024E-4</v>
      </c>
      <c r="G47">
        <v>2023</v>
      </c>
    </row>
    <row r="48" spans="1:7">
      <c r="A48" t="s">
        <v>75</v>
      </c>
      <c r="B48" t="s">
        <v>91</v>
      </c>
      <c r="C48" t="s">
        <v>83</v>
      </c>
      <c r="D48" t="s">
        <v>85</v>
      </c>
      <c r="E48" s="18">
        <v>7748.6516177037547</v>
      </c>
      <c r="F48">
        <v>2.1741834445307594E-4</v>
      </c>
      <c r="G48">
        <v>2023</v>
      </c>
    </row>
    <row r="49" spans="1:7">
      <c r="A49" t="s">
        <v>76</v>
      </c>
      <c r="B49" t="s">
        <v>91</v>
      </c>
      <c r="C49" t="s">
        <v>84</v>
      </c>
      <c r="D49" t="s">
        <v>86</v>
      </c>
      <c r="E49" s="18">
        <v>6549.4933506312918</v>
      </c>
      <c r="F49">
        <v>2.1350170250074125E-4</v>
      </c>
      <c r="G49">
        <v>2023</v>
      </c>
    </row>
    <row r="50" spans="1:7">
      <c r="A50" t="s">
        <v>77</v>
      </c>
      <c r="B50" t="s">
        <v>91</v>
      </c>
      <c r="G50">
        <v>2023</v>
      </c>
    </row>
    <row r="51" spans="1:7">
      <c r="A51" t="s">
        <v>78</v>
      </c>
      <c r="B51" t="s">
        <v>91</v>
      </c>
      <c r="G51">
        <v>2023</v>
      </c>
    </row>
    <row r="54" spans="1:7">
      <c r="A54" t="s">
        <v>73</v>
      </c>
      <c r="B54" t="s">
        <v>92</v>
      </c>
      <c r="G54">
        <v>2024</v>
      </c>
    </row>
    <row r="55" spans="1:7">
      <c r="A55" t="s">
        <v>74</v>
      </c>
      <c r="B55" t="s">
        <v>92</v>
      </c>
      <c r="G55">
        <v>2024</v>
      </c>
    </row>
    <row r="56" spans="1:7">
      <c r="A56" t="s">
        <v>75</v>
      </c>
      <c r="B56" t="s">
        <v>92</v>
      </c>
      <c r="G56">
        <v>2024</v>
      </c>
    </row>
    <row r="57" spans="1:7">
      <c r="A57" t="s">
        <v>76</v>
      </c>
      <c r="B57" t="s">
        <v>92</v>
      </c>
      <c r="G57">
        <v>2024</v>
      </c>
    </row>
    <row r="58" spans="1:7">
      <c r="A58" t="s">
        <v>77</v>
      </c>
      <c r="B58" t="s">
        <v>92</v>
      </c>
      <c r="G58">
        <v>2024</v>
      </c>
    </row>
    <row r="59" spans="1:7">
      <c r="A59" t="s">
        <v>78</v>
      </c>
      <c r="B59" t="s">
        <v>92</v>
      </c>
      <c r="G59">
        <v>2024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B28E-5156-460C-8DA6-CBBD554E8CA0}">
  <dimension ref="B2:C8"/>
  <sheetViews>
    <sheetView workbookViewId="0">
      <selection activeCell="B8" sqref="B8"/>
    </sheetView>
  </sheetViews>
  <sheetFormatPr defaultRowHeight="12.5"/>
  <cols>
    <col min="3" max="3" width="19.36328125" bestFit="1" customWidth="1"/>
  </cols>
  <sheetData>
    <row r="2" spans="2:3">
      <c r="B2" t="s">
        <v>79</v>
      </c>
      <c r="C2" t="s">
        <v>100</v>
      </c>
    </row>
    <row r="3" spans="2:3">
      <c r="B3" t="s">
        <v>81</v>
      </c>
      <c r="C3" t="s">
        <v>101</v>
      </c>
    </row>
    <row r="4" spans="2:3">
      <c r="B4" t="s">
        <v>83</v>
      </c>
      <c r="C4" t="s">
        <v>102</v>
      </c>
    </row>
    <row r="5" spans="2:3">
      <c r="B5" t="s">
        <v>84</v>
      </c>
      <c r="C5" t="s">
        <v>103</v>
      </c>
    </row>
    <row r="6" spans="2:3">
      <c r="B6" s="24" t="s">
        <v>107</v>
      </c>
      <c r="C6" t="s">
        <v>104</v>
      </c>
    </row>
    <row r="7" spans="2:3">
      <c r="B7" s="24" t="s">
        <v>108</v>
      </c>
      <c r="C7" t="s">
        <v>105</v>
      </c>
    </row>
    <row r="8" spans="2:3">
      <c r="B8" t="s">
        <v>80</v>
      </c>
      <c r="C8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user_input_details</vt:lpstr>
      <vt:lpstr>user_inputs</vt:lpstr>
      <vt:lpstr>time_periods</vt:lpstr>
      <vt:lpstr>AD_lu_transitions</vt:lpstr>
      <vt:lpstr>c_stocks</vt:lpstr>
      <vt:lpstr>Cstocks_prep</vt:lpstr>
      <vt:lpstr>AD_Prep</vt:lpstr>
      <vt:lpstr>LU 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Kaluuba, Enock (FAOUG)</cp:lastModifiedBy>
  <dcterms:created xsi:type="dcterms:W3CDTF">2024-12-16T16:11:00Z</dcterms:created>
  <dcterms:modified xsi:type="dcterms:W3CDTF">2025-12-10T11:25:03Z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6766B0EF1ABC0E345B183969069FEEF0_43</vt:lpwstr>
  </property>
  <property fmtid="{D5CDD505-2E9C-101B-9397-08002B2CF9AE}" pid="3" name="KSOProductBuildVer">
    <vt:lpwstr>1033-6.12.1.8654</vt:lpwstr>
  </property>
</Properties>
</file>